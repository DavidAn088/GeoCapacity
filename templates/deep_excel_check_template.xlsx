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c0e78bd1e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e_Input" sheetId="1" r:id="Rf0157009ac4449db"/>
    <x:sheet xmlns:r="http://schemas.openxmlformats.org/officeDocument/2006/relationships" name="Layer_Input" sheetId="2" r:id="R3f40d5be9998449d"/>
    <x:sheet xmlns:r="http://schemas.openxmlformats.org/officeDocument/2006/relationships" name="Deep_Calc" sheetId="3" r:id="Rfe128233bdf4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  <x:font>
      <x:b/>
      <x:sz val="14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535f38b9b4435" /><Relationship Type="http://schemas.openxmlformats.org/officeDocument/2006/relationships/theme" Target="/xl/theme/theme1.xml" Id="R76890d3d270f4f9f" /><Relationship Type="http://schemas.openxmlformats.org/officeDocument/2006/relationships/sharedStrings" Target="/xl/sharedStrings.xml" Id="R0b9ee84124434abb" /><Relationship Type="http://schemas.openxmlformats.org/officeDocument/2006/relationships/worksheet" Target="/xl/worksheets/sheet1.xml" Id="Rf0157009ac4449db" /><Relationship Type="http://schemas.openxmlformats.org/officeDocument/2006/relationships/worksheet" Target="/xl/worksheets/sheet2.xml" Id="R3f40d5be9998449d" /><Relationship Type="http://schemas.openxmlformats.org/officeDocument/2006/relationships/worksheet" Target="/xl/worksheets/sheet3.xml" Id="Rfe128233bdf445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</x:cols>
  <x:sheetData>
    <x:row r="1">
      <x:c r="A1" s="5" t="str">
        <x:v>Deep Foundation Excel Check Template</x:v>
      </x:c>
      <x:c r="B1" s="5" t="str"/>
    </x:row>
    <x:row r="3">
      <x:c r="A3" s="14" t="str">
        <x:v>parameter</x:v>
      </x:c>
      <x:c r="B3" s="14" t="str">
        <x:v>value</x:v>
      </x:c>
    </x:row>
    <x:row r="4">
      <x:c r="A4" t="str">
        <x:v>pile_fc_ksc</x:v>
      </x:c>
      <x:c r="B4" s="20" t="n">
        <x:v>350</x:v>
      </x:c>
    </x:row>
    <x:row r="5">
      <x:c r="A5" t="str">
        <x:v>pile_type_code</x:v>
      </x:c>
      <x:c r="B5" s="20" t="n">
        <x:v>1</x:v>
      </x:c>
    </x:row>
    <x:row r="6">
      <x:c r="A6" t="str">
        <x:v>pile_size_m</x:v>
      </x:c>
      <x:c r="B6" s="20" t="n">
        <x:v>0.6</x:v>
      </x:c>
    </x:row>
    <x:row r="7">
      <x:c r="A7" t="str">
        <x:v>pile_perimeter_m</x:v>
      </x:c>
      <x:c r="B7" s="20" t="n">
        <x:f>PI()*B6</x:f>
        <x:v>1.8849555921538759</x:v>
      </x:c>
    </x:row>
    <x:row r="8">
      <x:c r="A8" t="str">
        <x:v>pile_area_m2</x:v>
      </x:c>
      <x:c r="B8" s="20" t="n">
        <x:f>PI()*B6^2/4</x:f>
        <x:v>0.2827433388230814</x:v>
      </x:c>
    </x:row>
    <x:row r="9">
      <x:c r="A9" t="str">
        <x:v>pile_top_elevation_m</x:v>
      </x:c>
      <x:c r="B9" s="20" t="n">
        <x:v>0</x:v>
      </x:c>
    </x:row>
    <x:row r="10">
      <x:c r="A10" t="str">
        <x:v>water_table_m</x:v>
      </x:c>
      <x:c r="B10" s="20" t="n">
        <x:v>1</x:v>
      </x:c>
    </x:row>
    <x:row r="11">
      <x:c r="A11" t="str">
        <x:v>unit_weight_water_t_m3</x:v>
      </x:c>
      <x:c r="B11" s="20" t="n">
        <x:v>1</x:v>
      </x:c>
    </x:row>
    <x:row r="12">
      <x:c r="A12" t="str">
        <x:v>factor_of_safety_FS</x:v>
      </x:c>
      <x:c r="B12" s="20" t="n">
        <x:v>2.5</x:v>
      </x:c>
    </x:row>
    <x:row r="13">
      <x:c r="A13" t="str">
        <x:v>qe_cap_t_m2</x:v>
      </x:c>
      <x:c r="B13" s="20" t="n">
        <x:v>500</x:v>
      </x:c>
    </x:row>
    <x:row r="14">
      <x:c r="A14" t="str">
        <x:v>required_load_ton</x:v>
      </x:c>
      <x:c r="B14" s="20" t="n">
        <x:v>0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4" t="str">
        <x:v>No.</x:v>
      </x:c>
      <x:c r="B1" s="24" t="str">
        <x:v>Depth from (m)</x:v>
      </x:c>
      <x:c r="C1" s="24" t="str">
        <x:v>Depth to (m)</x:v>
      </x:c>
      <x:c r="D1" s="24" t="str">
        <x:v>g (t/m³)</x:v>
      </x:c>
      <x:c r="E1" s="24" t="str">
        <x:v>Soil type</x:v>
      </x:c>
      <x:c r="F1" s="24" t="str">
        <x:v>Soil name</x:v>
      </x:c>
      <x:c r="G1" s="24" t="str">
        <x:v>su1 (t/m²)</x:v>
      </x:c>
      <x:c r="H1" s="24" t="str">
        <x:v>SPT N</x:v>
      </x:c>
    </x:row>
    <x:row r="2">
      <x:c r="A2" s="20" t="n">
        <x:v>1</x:v>
      </x:c>
      <x:c r="B2" s="20" t="n">
        <x:v>0</x:v>
      </x:c>
      <x:c r="C2" s="20" t="n">
        <x:v>1</x:v>
      </x:c>
      <x:c r="D2" s="20" t="n">
        <x:v>1.8</x:v>
      </x:c>
      <x:c r="E2" s="20" t="str">
        <x:v>C</x:v>
      </x:c>
      <x:c r="F2" s="20" t="str">
        <x:v>Clay</x:v>
      </x:c>
      <x:c r="G2" s="20" t="n">
        <x:v>2</x:v>
      </x:c>
      <x:c r="H2" s="20"/>
    </x:row>
    <x:row r="3">
      <x:c r="A3" s="20" t="n">
        <x:v>2</x:v>
      </x:c>
      <x:c r="B3" s="20" t="n">
        <x:v>1</x:v>
      </x:c>
      <x:c r="C3" s="20" t="n">
        <x:v>2</x:v>
      </x:c>
      <x:c r="D3" s="20" t="n">
        <x:v>1.8</x:v>
      </x:c>
      <x:c r="E3" s="20" t="str">
        <x:v>C</x:v>
      </x:c>
      <x:c r="F3" s="20" t="str">
        <x:v>Clay</x:v>
      </x:c>
      <x:c r="G3" s="20" t="n">
        <x:v>2.1</x:v>
      </x:c>
      <x:c r="H3" s="20"/>
    </x:row>
    <x:row r="4">
      <x:c r="A4" s="20" t="n">
        <x:v>3</x:v>
      </x:c>
      <x:c r="B4" s="20" t="n">
        <x:v>2</x:v>
      </x:c>
      <x:c r="C4" s="20" t="n">
        <x:v>3</x:v>
      </x:c>
      <x:c r="D4" s="20" t="n">
        <x:v>1.85</x:v>
      </x:c>
      <x:c r="E4" s="20" t="str">
        <x:v>S</x:v>
      </x:c>
      <x:c r="F4" s="20" t="str">
        <x:v>Sand</x:v>
      </x:c>
      <x:c r="G4" s="20"/>
      <x:c r="H4" s="20" t="n">
        <x:v>10</x:v>
      </x:c>
    </x:row>
    <x:row r="5">
      <x:c r="A5" s="20" t="str"/>
      <x:c r="B5" s="20" t="str"/>
      <x:c r="C5" s="20" t="str"/>
      <x:c r="D5" s="20" t="str"/>
      <x:c r="E5" s="20" t="str"/>
      <x:c r="F5" s="20" t="str"/>
      <x:c r="G5" s="20" t="str"/>
      <x:c r="H5" s="20" t="str"/>
    </x:row>
    <x:row r="6">
      <x:c r="A6" s="20" t="str"/>
      <x:c r="B6" s="20" t="str"/>
      <x:c r="C6" s="20" t="str"/>
      <x:c r="D6" s="20" t="str"/>
      <x:c r="E6" s="20" t="str"/>
      <x:c r="F6" s="20" t="str"/>
      <x:c r="G6" s="20" t="str"/>
      <x:c r="H6" s="20" t="str"/>
    </x:row>
    <x:row r="7">
      <x:c r="A7" s="20" t="str"/>
      <x:c r="B7" s="20" t="str"/>
      <x:c r="C7" s="20" t="str"/>
      <x:c r="D7" s="20" t="str"/>
      <x:c r="E7" s="20" t="str"/>
      <x:c r="F7" s="20" t="str"/>
      <x:c r="G7" s="20" t="str"/>
      <x:c r="H7" s="20" t="str"/>
    </x:row>
    <x:row r="8">
      <x:c r="A8" s="20" t="str"/>
      <x:c r="B8" s="20" t="str"/>
      <x:c r="C8" s="20" t="str"/>
      <x:c r="D8" s="20" t="str"/>
      <x:c r="E8" s="20" t="str"/>
      <x:c r="F8" s="20" t="str"/>
      <x:c r="G8" s="20" t="str"/>
      <x:c r="H8" s="20" t="str"/>
    </x:row>
    <x:row r="9">
      <x:c r="A9" s="20" t="str"/>
      <x:c r="B9" s="20" t="str"/>
      <x:c r="C9" s="20" t="str"/>
      <x:c r="D9" s="20" t="str"/>
      <x:c r="E9" s="20" t="str"/>
      <x:c r="F9" s="20" t="str"/>
      <x:c r="G9" s="20" t="str"/>
      <x:c r="H9" s="20" t="str"/>
    </x:row>
    <x:row r="10">
      <x:c r="A10" s="20" t="str"/>
      <x:c r="B10" s="20" t="str"/>
      <x:c r="C10" s="20" t="str"/>
      <x:c r="D10" s="20" t="str"/>
      <x:c r="E10" s="20" t="str"/>
      <x:c r="F10" s="20" t="str"/>
      <x:c r="G10" s="20" t="str"/>
      <x:c r="H10" s="20" t="str"/>
    </x:row>
    <x:row r="11">
      <x:c r="A11" s="20" t="str"/>
      <x:c r="B11" s="20" t="str"/>
      <x:c r="C11" s="20" t="str"/>
      <x:c r="D11" s="20" t="str"/>
      <x:c r="E11" s="20" t="str"/>
      <x:c r="F11" s="20" t="str"/>
      <x:c r="G11" s="20" t="str"/>
      <x:c r="H11" s="20" t="str"/>
    </x:row>
    <x:row r="12">
      <x:c r="A12" s="20" t="str"/>
      <x:c r="B12" s="20" t="str"/>
      <x:c r="C12" s="20" t="str"/>
      <x:c r="D12" s="20" t="str"/>
      <x:c r="E12" s="20" t="str"/>
      <x:c r="F12" s="20" t="str"/>
      <x:c r="G12" s="20" t="str"/>
      <x:c r="H12" s="20" t="str"/>
    </x:row>
    <x:row r="13">
      <x:c r="A13" s="20" t="str"/>
      <x:c r="B13" s="20" t="str"/>
      <x:c r="C13" s="20" t="str"/>
      <x:c r="D13" s="20" t="str"/>
      <x:c r="E13" s="20" t="str"/>
      <x:c r="F13" s="20" t="str"/>
      <x:c r="G13" s="20" t="str"/>
      <x:c r="H13" s="20" t="str"/>
    </x:row>
    <x:row r="14">
      <x:c r="A14" s="20" t="str"/>
      <x:c r="B14" s="20" t="str"/>
      <x:c r="C14" s="20" t="str"/>
      <x:c r="D14" s="20" t="str"/>
      <x:c r="E14" s="20" t="str"/>
      <x:c r="F14" s="20" t="str"/>
      <x:c r="G14" s="20" t="str"/>
      <x:c r="H14" s="20" t="str"/>
    </x:row>
    <x:row r="15">
      <x:c r="A15" s="20" t="str"/>
      <x:c r="B15" s="20" t="str"/>
      <x:c r="C15" s="20" t="str"/>
      <x:c r="D15" s="20" t="str"/>
      <x:c r="E15" s="20" t="str"/>
      <x:c r="F15" s="20" t="str"/>
      <x:c r="G15" s="20" t="str"/>
      <x:c r="H15" s="20" t="str"/>
    </x:row>
    <x:row r="16">
      <x:c r="A16" s="20" t="str"/>
      <x:c r="B16" s="20" t="str"/>
      <x:c r="C16" s="20" t="str"/>
      <x:c r="D16" s="20" t="str"/>
      <x:c r="E16" s="20" t="str"/>
      <x:c r="F16" s="20" t="str"/>
      <x:c r="G16" s="20" t="str"/>
      <x:c r="H16" s="20" t="str"/>
    </x:row>
    <x:row r="17">
      <x:c r="A17" s="20" t="str"/>
      <x:c r="B17" s="20" t="str"/>
      <x:c r="C17" s="20" t="str"/>
      <x:c r="D17" s="20" t="str"/>
      <x:c r="E17" s="20" t="str"/>
      <x:c r="F17" s="20" t="str"/>
      <x:c r="G17" s="20" t="str"/>
      <x:c r="H17" s="20" t="str"/>
    </x:row>
    <x:row r="18">
      <x:c r="A18" s="20" t="str"/>
      <x:c r="B18" s="20" t="str"/>
      <x:c r="C18" s="20" t="str"/>
      <x:c r="D18" s="20" t="str"/>
      <x:c r="E18" s="20" t="str"/>
      <x:c r="F18" s="20" t="str"/>
      <x:c r="G18" s="20" t="str"/>
      <x:c r="H18" s="20" t="str"/>
    </x:row>
    <x:row r="19">
      <x:c r="A19" s="20" t="str"/>
      <x:c r="B19" s="20" t="str"/>
      <x:c r="C19" s="20" t="str"/>
      <x:c r="D19" s="20" t="str"/>
      <x:c r="E19" s="20" t="str"/>
      <x:c r="F19" s="20" t="str"/>
      <x:c r="G19" s="20" t="str"/>
      <x:c r="H19" s="20" t="str"/>
    </x:row>
    <x:row r="20">
      <x:c r="A20" s="20" t="str"/>
      <x:c r="B20" s="20" t="str"/>
      <x:c r="C20" s="20" t="str"/>
      <x:c r="D20" s="20" t="str"/>
      <x:c r="E20" s="20" t="str"/>
      <x:c r="F20" s="20" t="str"/>
      <x:c r="G20" s="20" t="str"/>
      <x:c r="H20" s="20" t="str"/>
    </x:row>
    <x:row r="21">
      <x:c r="A21" s="20" t="str"/>
      <x:c r="B21" s="20" t="str"/>
      <x:c r="C21" s="20" t="str"/>
      <x:c r="D21" s="20" t="str"/>
      <x:c r="E21" s="20" t="str"/>
      <x:c r="F21" s="20" t="str"/>
      <x:c r="G21" s="20" t="str"/>
      <x:c r="H21" s="20" t="str"/>
    </x:row>
    <x:row r="22">
      <x:c r="A22" s="20" t="str"/>
      <x:c r="B22" s="20" t="str"/>
      <x:c r="C22" s="20" t="str"/>
      <x:c r="D22" s="20" t="str"/>
      <x:c r="E22" s="20" t="str"/>
      <x:c r="F22" s="20" t="str"/>
      <x:c r="G22" s="20" t="str"/>
      <x:c r="H22" s="20" t="str"/>
    </x:row>
    <x:row r="23">
      <x:c r="A23" s="20" t="str"/>
      <x:c r="B23" s="20" t="str"/>
      <x:c r="C23" s="20" t="str"/>
      <x:c r="D23" s="20" t="str"/>
      <x:c r="E23" s="20" t="str"/>
      <x:c r="F23" s="20" t="str"/>
      <x:c r="G23" s="20" t="str"/>
      <x:c r="H23" s="20" t="str"/>
    </x:row>
    <x:row r="24">
      <x:c r="A24" s="20" t="str"/>
      <x:c r="B24" s="20" t="str"/>
      <x:c r="C24" s="20" t="str"/>
      <x:c r="D24" s="20" t="str"/>
      <x:c r="E24" s="20" t="str"/>
      <x:c r="F24" s="20" t="str"/>
      <x:c r="G24" s="20" t="str"/>
      <x:c r="H24" s="20" t="str"/>
    </x:row>
    <x:row r="25">
      <x:c r="A25" s="20" t="str"/>
      <x:c r="B25" s="20" t="str"/>
      <x:c r="C25" s="20" t="str"/>
      <x:c r="D25" s="20" t="str"/>
      <x:c r="E25" s="20" t="str"/>
      <x:c r="F25" s="20" t="str"/>
      <x:c r="G25" s="20" t="str"/>
      <x:c r="H25" s="20" t="str"/>
    </x:row>
    <x:row r="26">
      <x:c r="A26" s="20" t="str"/>
      <x:c r="B26" s="20" t="str"/>
      <x:c r="C26" s="20" t="str"/>
      <x:c r="D26" s="20" t="str"/>
      <x:c r="E26" s="20" t="str"/>
      <x:c r="F26" s="20" t="str"/>
      <x:c r="G26" s="20" t="str"/>
      <x:c r="H26" s="20" t="str"/>
    </x:row>
    <x:row r="27">
      <x:c r="A27" s="20" t="str"/>
      <x:c r="B27" s="20" t="str"/>
      <x:c r="C27" s="20" t="str"/>
      <x:c r="D27" s="20" t="str"/>
      <x:c r="E27" s="20" t="str"/>
      <x:c r="F27" s="20" t="str"/>
      <x:c r="G27" s="20" t="str"/>
      <x:c r="H27" s="20" t="str"/>
    </x:row>
    <x:row r="28">
      <x:c r="A28" s="20" t="str"/>
      <x:c r="B28" s="20" t="str"/>
      <x:c r="C28" s="20" t="str"/>
      <x:c r="D28" s="20" t="str"/>
      <x:c r="E28" s="20" t="str"/>
      <x:c r="F28" s="20" t="str"/>
      <x:c r="G28" s="20" t="str"/>
      <x:c r="H28" s="20" t="str"/>
    </x:row>
    <x:row r="29">
      <x:c r="A29" s="20" t="str"/>
      <x:c r="B29" s="20" t="str"/>
      <x:c r="C29" s="20" t="str"/>
      <x:c r="D29" s="20" t="str"/>
      <x:c r="E29" s="20" t="str"/>
      <x:c r="F29" s="20" t="str"/>
      <x:c r="G29" s="20" t="str"/>
      <x:c r="H29" s="20" t="str"/>
    </x:row>
    <x:row r="30">
      <x:c r="A30" s="20" t="str"/>
      <x:c r="B30" s="20" t="str"/>
      <x:c r="C30" s="20" t="str"/>
      <x:c r="D30" s="20" t="str"/>
      <x:c r="E30" s="20" t="str"/>
      <x:c r="F30" s="20" t="str"/>
      <x:c r="G30" s="20" t="str"/>
      <x:c r="H30" s="20" t="str"/>
    </x:row>
    <x:row r="31">
      <x:c r="A31" s="20" t="str"/>
      <x:c r="B31" s="20" t="str"/>
      <x:c r="C31" s="20" t="str"/>
      <x:c r="D31" s="20" t="str"/>
      <x:c r="E31" s="20" t="str"/>
      <x:c r="F31" s="20" t="str"/>
      <x:c r="G31" s="20" t="str"/>
      <x:c r="H31" s="20" t="str"/>
    </x:row>
    <x:row r="32">
      <x:c r="A32" s="20" t="str"/>
      <x:c r="B32" s="20" t="str"/>
      <x:c r="C32" s="20" t="str"/>
      <x:c r="D32" s="20" t="str"/>
      <x:c r="E32" s="20" t="str"/>
      <x:c r="F32" s="20" t="str"/>
      <x:c r="G32" s="20" t="str"/>
      <x:c r="H32" s="20" t="str"/>
    </x:row>
    <x:row r="33">
      <x:c r="A33" s="20" t="str"/>
      <x:c r="B33" s="20" t="str"/>
      <x:c r="C33" s="20" t="str"/>
      <x:c r="D33" s="20" t="str"/>
      <x:c r="E33" s="20" t="str"/>
      <x:c r="F33" s="20" t="str"/>
      <x:c r="G33" s="20" t="str"/>
      <x:c r="H33" s="20" t="str"/>
    </x:row>
    <x:row r="34">
      <x:c r="A34" s="20" t="str"/>
      <x:c r="B34" s="20" t="str"/>
      <x:c r="C34" s="20" t="str"/>
      <x:c r="D34" s="20" t="str"/>
      <x:c r="E34" s="20" t="str"/>
      <x:c r="F34" s="20" t="str"/>
      <x:c r="G34" s="20" t="str"/>
      <x:c r="H34" s="20" t="str"/>
    </x:row>
    <x:row r="35">
      <x:c r="A35" s="20" t="str"/>
      <x:c r="B35" s="20" t="str"/>
      <x:c r="C35" s="20" t="str"/>
      <x:c r="D35" s="20" t="str"/>
      <x:c r="E35" s="20" t="str"/>
      <x:c r="F35" s="20" t="str"/>
      <x:c r="G35" s="20" t="str"/>
      <x:c r="H35" s="20" t="str"/>
    </x:row>
    <x:row r="36">
      <x:c r="A36" s="20" t="str"/>
      <x:c r="B36" s="20" t="str"/>
      <x:c r="C36" s="20" t="str"/>
      <x:c r="D36" s="20" t="str"/>
      <x:c r="E36" s="20" t="str"/>
      <x:c r="F36" s="20" t="str"/>
      <x:c r="G36" s="20" t="str"/>
      <x:c r="H36" s="20" t="str"/>
    </x:row>
    <x:row r="37">
      <x:c r="A37" s="20" t="str"/>
      <x:c r="B37" s="20" t="str"/>
      <x:c r="C37" s="20" t="str"/>
      <x:c r="D37" s="20" t="str"/>
      <x:c r="E37" s="20" t="str"/>
      <x:c r="F37" s="20" t="str"/>
      <x:c r="G37" s="20" t="str"/>
      <x:c r="H37" s="20" t="str"/>
    </x:row>
    <x:row r="38">
      <x:c r="A38" s="20" t="str"/>
      <x:c r="B38" s="20" t="str"/>
      <x:c r="C38" s="20" t="str"/>
      <x:c r="D38" s="20" t="str"/>
      <x:c r="E38" s="20" t="str"/>
      <x:c r="F38" s="20" t="str"/>
      <x:c r="G38" s="20" t="str"/>
      <x:c r="H38" s="20" t="str"/>
    </x:row>
    <x:row r="39">
      <x:c r="A39" s="20" t="str"/>
      <x:c r="B39" s="20" t="str"/>
      <x:c r="C39" s="20" t="str"/>
      <x:c r="D39" s="20" t="str"/>
      <x:c r="E39" s="20" t="str"/>
      <x:c r="F39" s="20" t="str"/>
      <x:c r="G39" s="20" t="str"/>
      <x:c r="H39" s="20" t="str"/>
    </x:row>
    <x:row r="40">
      <x:c r="A40" s="20" t="str"/>
      <x:c r="B40" s="20" t="str"/>
      <x:c r="C40" s="20" t="str"/>
      <x:c r="D40" s="20" t="str"/>
      <x:c r="E40" s="20" t="str"/>
      <x:c r="F40" s="20" t="str"/>
      <x:c r="G40" s="20" t="str"/>
      <x:c r="H40" s="20" t="str"/>
    </x:row>
    <x:row r="41">
      <x:c r="A41" s="20" t="str"/>
      <x:c r="B41" s="20" t="str"/>
      <x:c r="C41" s="20" t="str"/>
      <x:c r="D41" s="20" t="str"/>
      <x:c r="E41" s="20" t="str"/>
      <x:c r="F41" s="20" t="str"/>
      <x:c r="G41" s="20" t="str"/>
      <x:c r="H41" s="20" t="str"/>
    </x:row>
    <x:row r="42">
      <x:c r="A42" s="20" t="str"/>
      <x:c r="B42" s="20" t="str"/>
      <x:c r="C42" s="20" t="str"/>
      <x:c r="D42" s="20" t="str"/>
      <x:c r="E42" s="20" t="str"/>
      <x:c r="F42" s="20" t="str"/>
      <x:c r="G42" s="20" t="str"/>
      <x:c r="H42" s="20" t="str"/>
    </x:row>
    <x:row r="43">
      <x:c r="A43" s="20" t="str"/>
      <x:c r="B43" s="20" t="str"/>
      <x:c r="C43" s="20" t="str"/>
      <x:c r="D43" s="20" t="str"/>
      <x:c r="E43" s="20" t="str"/>
      <x:c r="F43" s="20" t="str"/>
      <x:c r="G43" s="20" t="str"/>
      <x:c r="H43" s="20" t="str"/>
    </x:row>
    <x:row r="44">
      <x:c r="A44" s="20" t="str"/>
      <x:c r="B44" s="20" t="str"/>
      <x:c r="C44" s="20" t="str"/>
      <x:c r="D44" s="20" t="str"/>
      <x:c r="E44" s="20" t="str"/>
      <x:c r="F44" s="20" t="str"/>
      <x:c r="G44" s="20" t="str"/>
      <x:c r="H44" s="20" t="str"/>
    </x:row>
    <x:row r="45">
      <x:c r="A45" s="20" t="str"/>
      <x:c r="B45" s="20" t="str"/>
      <x:c r="C45" s="20" t="str"/>
      <x:c r="D45" s="20" t="str"/>
      <x:c r="E45" s="20" t="str"/>
      <x:c r="F45" s="20" t="str"/>
      <x:c r="G45" s="20" t="str"/>
      <x:c r="H45" s="20" t="str"/>
    </x:row>
    <x:row r="46">
      <x:c r="A46" s="20" t="str"/>
      <x:c r="B46" s="20" t="str"/>
      <x:c r="C46" s="20" t="str"/>
      <x:c r="D46" s="20" t="str"/>
      <x:c r="E46" s="20" t="str"/>
      <x:c r="F46" s="20" t="str"/>
      <x:c r="G46" s="20" t="str"/>
      <x:c r="H46" s="20" t="str"/>
    </x:row>
    <x:row r="47">
      <x:c r="A47" s="20" t="str"/>
      <x:c r="B47" s="20" t="str"/>
      <x:c r="C47" s="20" t="str"/>
      <x:c r="D47" s="20" t="str"/>
      <x:c r="E47" s="20" t="str"/>
      <x:c r="F47" s="20" t="str"/>
      <x:c r="G47" s="20" t="str"/>
      <x:c r="H47" s="20" t="str"/>
    </x:row>
    <x:row r="48">
      <x:c r="A48" s="20" t="str"/>
      <x:c r="B48" s="20" t="str"/>
      <x:c r="C48" s="20" t="str"/>
      <x:c r="D48" s="20" t="str"/>
      <x:c r="E48" s="20" t="str"/>
      <x:c r="F48" s="20" t="str"/>
      <x:c r="G48" s="20" t="str"/>
      <x:c r="H48" s="20" t="str"/>
    </x:row>
    <x:row r="49">
      <x:c r="A49" s="20" t="str"/>
      <x:c r="B49" s="20" t="str"/>
      <x:c r="C49" s="20" t="str"/>
      <x:c r="D49" s="20" t="str"/>
      <x:c r="E49" s="20" t="str"/>
      <x:c r="F49" s="20" t="str"/>
      <x:c r="G49" s="20" t="str"/>
      <x:c r="H49" s="20" t="str"/>
    </x:row>
    <x:row r="50">
      <x:c r="A50" s="20" t="str"/>
      <x:c r="B50" s="20" t="str"/>
      <x:c r="C50" s="20" t="str"/>
      <x:c r="D50" s="20" t="str"/>
      <x:c r="E50" s="20" t="str"/>
      <x:c r="F50" s="20" t="str"/>
      <x:c r="G50" s="20" t="str"/>
      <x:c r="H50" s="20" t="str"/>
    </x:row>
    <x:row r="51">
      <x:c r="A51" s="20" t="str"/>
      <x:c r="B51" s="20" t="str"/>
      <x:c r="C51" s="20" t="str"/>
      <x:c r="D51" s="20" t="str"/>
      <x:c r="E51" s="20" t="str"/>
      <x:c r="F51" s="20" t="str"/>
      <x:c r="G51" s="20" t="str"/>
      <x:c r="H51" s="20" t="str"/>
    </x:row>
    <x:row r="52">
      <x:c r="A52" s="20" t="str"/>
      <x:c r="B52" s="20" t="str"/>
      <x:c r="C52" s="20" t="str"/>
      <x:c r="D52" s="20" t="str"/>
      <x:c r="E52" s="20" t="str"/>
      <x:c r="F52" s="20" t="str"/>
      <x:c r="G52" s="20" t="str"/>
      <x:c r="H52" s="20" t="str"/>
    </x:row>
    <x:row r="53">
      <x:c r="A53" s="20" t="str"/>
      <x:c r="B53" s="20" t="str"/>
      <x:c r="C53" s="20" t="str"/>
      <x:c r="D53" s="20" t="str"/>
      <x:c r="E53" s="20" t="str"/>
      <x:c r="F53" s="20" t="str"/>
      <x:c r="G53" s="20" t="str"/>
      <x:c r="H53" s="20" t="str"/>
    </x:row>
    <x:row r="54">
      <x:c r="A54" s="20" t="str"/>
      <x:c r="B54" s="20" t="str"/>
      <x:c r="C54" s="20" t="str"/>
      <x:c r="D54" s="20" t="str"/>
      <x:c r="E54" s="20" t="str"/>
      <x:c r="F54" s="20" t="str"/>
      <x:c r="G54" s="20" t="str"/>
      <x:c r="H54" s="20" t="str"/>
    </x:row>
    <x:row r="55">
      <x:c r="A55" s="20" t="str"/>
      <x:c r="B55" s="20" t="str"/>
      <x:c r="C55" s="20" t="str"/>
      <x:c r="D55" s="20" t="str"/>
      <x:c r="E55" s="20" t="str"/>
      <x:c r="F55" s="20" t="str"/>
      <x:c r="G55" s="20" t="str"/>
      <x:c r="H55" s="20" t="str"/>
    </x:row>
    <x:row r="56">
      <x:c r="A56" s="20" t="str"/>
      <x:c r="B56" s="20" t="str"/>
      <x:c r="C56" s="20" t="str"/>
      <x:c r="D56" s="20" t="str"/>
      <x:c r="E56" s="20" t="str"/>
      <x:c r="F56" s="20" t="str"/>
      <x:c r="G56" s="20" t="str"/>
      <x:c r="H56" s="20" t="str"/>
    </x:row>
    <x:row r="57">
      <x:c r="A57" s="20" t="str"/>
      <x:c r="B57" s="20" t="str"/>
      <x:c r="C57" s="20" t="str"/>
      <x:c r="D57" s="20" t="str"/>
      <x:c r="E57" s="20" t="str"/>
      <x:c r="F57" s="20" t="str"/>
      <x:c r="G57" s="20" t="str"/>
      <x:c r="H57" s="20" t="str"/>
    </x:row>
    <x:row r="58">
      <x:c r="A58" s="20" t="str"/>
      <x:c r="B58" s="20" t="str"/>
      <x:c r="C58" s="20" t="str"/>
      <x:c r="D58" s="20" t="str"/>
      <x:c r="E58" s="20" t="str"/>
      <x:c r="F58" s="20" t="str"/>
      <x:c r="G58" s="20" t="str"/>
      <x:c r="H58" s="20" t="str"/>
    </x:row>
    <x:row r="59">
      <x:c r="A59" s="20" t="str"/>
      <x:c r="B59" s="20" t="str"/>
      <x:c r="C59" s="20" t="str"/>
      <x:c r="D59" s="20" t="str"/>
      <x:c r="E59" s="20" t="str"/>
      <x:c r="F59" s="20" t="str"/>
      <x:c r="G59" s="20" t="str"/>
      <x:c r="H59" s="20" t="str"/>
    </x:row>
    <x:row r="60">
      <x:c r="A60" s="20" t="str"/>
      <x:c r="B60" s="20" t="str"/>
      <x:c r="C60" s="20" t="str"/>
      <x:c r="D60" s="20" t="str"/>
      <x:c r="E60" s="20" t="str"/>
      <x:c r="F60" s="20" t="str"/>
      <x:c r="G60" s="20" t="str"/>
      <x:c r="H60" s="20" t="str"/>
    </x:row>
    <x:row r="61">
      <x:c r="A61" s="20" t="str"/>
      <x:c r="B61" s="20" t="str"/>
      <x:c r="C61" s="20" t="str"/>
      <x:c r="D61" s="20" t="str"/>
      <x:c r="E61" s="20" t="str"/>
      <x:c r="F61" s="20" t="str"/>
      <x:c r="G61" s="20" t="str"/>
      <x:c r="H61" s="20" t="str"/>
    </x:row>
    <x:row r="62">
      <x:c r="A62" s="20" t="str"/>
      <x:c r="B62" s="20" t="str"/>
      <x:c r="C62" s="20" t="str"/>
      <x:c r="D62" s="20" t="str"/>
      <x:c r="E62" s="20" t="str"/>
      <x:c r="F62" s="20" t="str"/>
      <x:c r="G62" s="20" t="str"/>
      <x:c r="H62" s="20" t="str"/>
    </x:row>
    <x:row r="63">
      <x:c r="A63" s="20" t="str"/>
      <x:c r="B63" s="20" t="str"/>
      <x:c r="C63" s="20" t="str"/>
      <x:c r="D63" s="20" t="str"/>
      <x:c r="E63" s="20" t="str"/>
      <x:c r="F63" s="20" t="str"/>
      <x:c r="G63" s="20" t="str"/>
      <x:c r="H63" s="20" t="str"/>
    </x:row>
    <x:row r="64">
      <x:c r="A64" s="20" t="str"/>
      <x:c r="B64" s="20" t="str"/>
      <x:c r="C64" s="20" t="str"/>
      <x:c r="D64" s="20" t="str"/>
      <x:c r="E64" s="20" t="str"/>
      <x:c r="F64" s="20" t="str"/>
      <x:c r="G64" s="20" t="str"/>
      <x:c r="H64" s="20" t="str"/>
    </x:row>
    <x:row r="65">
      <x:c r="A65" s="20" t="str"/>
      <x:c r="B65" s="20" t="str"/>
      <x:c r="C65" s="20" t="str"/>
      <x:c r="D65" s="20" t="str"/>
      <x:c r="E65" s="20" t="str"/>
      <x:c r="F65" s="20" t="str"/>
      <x:c r="G65" s="20" t="str"/>
      <x:c r="H65" s="20" t="str"/>
    </x:row>
    <x:row r="66">
      <x:c r="A66" s="20" t="str"/>
      <x:c r="B66" s="20" t="str"/>
      <x:c r="C66" s="20" t="str"/>
      <x:c r="D66" s="20" t="str"/>
      <x:c r="E66" s="20" t="str"/>
      <x:c r="F66" s="20" t="str"/>
      <x:c r="G66" s="20" t="str"/>
      <x:c r="H66" s="20" t="str"/>
    </x:row>
    <x:row r="67">
      <x:c r="A67" s="20" t="str"/>
      <x:c r="B67" s="20" t="str"/>
      <x:c r="C67" s="20" t="str"/>
      <x:c r="D67" s="20" t="str"/>
      <x:c r="E67" s="20" t="str"/>
      <x:c r="F67" s="20" t="str"/>
      <x:c r="G67" s="20" t="str"/>
      <x:c r="H67" s="20" t="str"/>
    </x:row>
    <x:row r="68">
      <x:c r="A68" s="20" t="str"/>
      <x:c r="B68" s="20" t="str"/>
      <x:c r="C68" s="20" t="str"/>
      <x:c r="D68" s="20" t="str"/>
      <x:c r="E68" s="20" t="str"/>
      <x:c r="F68" s="20" t="str"/>
      <x:c r="G68" s="20" t="str"/>
      <x:c r="H68" s="20" t="str"/>
    </x:row>
    <x:row r="69">
      <x:c r="A69" s="20" t="str"/>
      <x:c r="B69" s="20" t="str"/>
      <x:c r="C69" s="20" t="str"/>
      <x:c r="D69" s="20" t="str"/>
      <x:c r="E69" s="20" t="str"/>
      <x:c r="F69" s="20" t="str"/>
      <x:c r="G69" s="20" t="str"/>
      <x:c r="H69" s="20" t="str"/>
    </x:row>
    <x:row r="70">
      <x:c r="A70" s="20" t="str"/>
      <x:c r="B70" s="20" t="str"/>
      <x:c r="C70" s="20" t="str"/>
      <x:c r="D70" s="20" t="str"/>
      <x:c r="E70" s="20" t="str"/>
      <x:c r="F70" s="20" t="str"/>
      <x:c r="G70" s="20" t="str"/>
      <x:c r="H70" s="20" t="str"/>
    </x:row>
    <x:row r="71">
      <x:c r="A71" s="20" t="str"/>
      <x:c r="B71" s="20" t="str"/>
      <x:c r="C71" s="20" t="str"/>
      <x:c r="D71" s="20" t="str"/>
      <x:c r="E71" s="20" t="str"/>
      <x:c r="F71" s="20" t="str"/>
      <x:c r="G71" s="20" t="str"/>
      <x:c r="H71" s="20" t="str"/>
    </x:row>
    <x:row r="72">
      <x:c r="A72" s="20" t="str"/>
      <x:c r="B72" s="20" t="str"/>
      <x:c r="C72" s="20" t="str"/>
      <x:c r="D72" s="20" t="str"/>
      <x:c r="E72" s="20" t="str"/>
      <x:c r="F72" s="20" t="str"/>
      <x:c r="G72" s="20" t="str"/>
      <x:c r="H72" s="20" t="str"/>
    </x:row>
    <x:row r="73">
      <x:c r="A73" s="20" t="str"/>
      <x:c r="B73" s="20" t="str"/>
      <x:c r="C73" s="20" t="str"/>
      <x:c r="D73" s="20" t="str"/>
      <x:c r="E73" s="20" t="str"/>
      <x:c r="F73" s="20" t="str"/>
      <x:c r="G73" s="20" t="str"/>
      <x:c r="H73" s="20" t="str"/>
    </x:row>
    <x:row r="74">
      <x:c r="A74" s="20" t="str"/>
      <x:c r="B74" s="20" t="str"/>
      <x:c r="C74" s="20" t="str"/>
      <x:c r="D74" s="20" t="str"/>
      <x:c r="E74" s="20" t="str"/>
      <x:c r="F74" s="20" t="str"/>
      <x:c r="G74" s="20" t="str"/>
      <x:c r="H74" s="20" t="str"/>
    </x:row>
    <x:row r="75">
      <x:c r="A75" s="20" t="str"/>
      <x:c r="B75" s="20" t="str"/>
      <x:c r="C75" s="20" t="str"/>
      <x:c r="D75" s="20" t="str"/>
      <x:c r="E75" s="20" t="str"/>
      <x:c r="F75" s="20" t="str"/>
      <x:c r="G75" s="20" t="str"/>
      <x:c r="H75" s="20" t="str"/>
    </x:row>
    <x:row r="76">
      <x:c r="A76" s="20" t="str"/>
      <x:c r="B76" s="20" t="str"/>
      <x:c r="C76" s="20" t="str"/>
      <x:c r="D76" s="20" t="str"/>
      <x:c r="E76" s="20" t="str"/>
      <x:c r="F76" s="20" t="str"/>
      <x:c r="G76" s="20" t="str"/>
      <x:c r="H76" s="20" t="str"/>
    </x:row>
    <x:row r="77">
      <x:c r="A77" s="20" t="str"/>
      <x:c r="B77" s="20" t="str"/>
      <x:c r="C77" s="20" t="str"/>
      <x:c r="D77" s="20" t="str"/>
      <x:c r="E77" s="20" t="str"/>
      <x:c r="F77" s="20" t="str"/>
      <x:c r="G77" s="20" t="str"/>
      <x:c r="H77" s="20" t="str"/>
    </x:row>
    <x:row r="78">
      <x:c r="A78" s="20" t="str"/>
      <x:c r="B78" s="20" t="str"/>
      <x:c r="C78" s="20" t="str"/>
      <x:c r="D78" s="20" t="str"/>
      <x:c r="E78" s="20" t="str"/>
      <x:c r="F78" s="20" t="str"/>
      <x:c r="G78" s="20" t="str"/>
      <x:c r="H78" s="20" t="str"/>
    </x:row>
    <x:row r="79">
      <x:c r="A79" s="20" t="str"/>
      <x:c r="B79" s="20" t="str"/>
      <x:c r="C79" s="20" t="str"/>
      <x:c r="D79" s="20" t="str"/>
      <x:c r="E79" s="20" t="str"/>
      <x:c r="F79" s="20" t="str"/>
      <x:c r="G79" s="20" t="str"/>
      <x:c r="H79" s="20" t="str"/>
    </x:row>
    <x:row r="80">
      <x:c r="A80" s="20" t="str"/>
      <x:c r="B80" s="20" t="str"/>
      <x:c r="C80" s="20" t="str"/>
      <x:c r="D80" s="20" t="str"/>
      <x:c r="E80" s="20" t="str"/>
      <x:c r="F80" s="20" t="str"/>
      <x:c r="G80" s="20" t="str"/>
      <x:c r="H80" s="20" t="str"/>
    </x:row>
    <x:row r="81">
      <x:c r="A81" s="20" t="str"/>
      <x:c r="B81" s="20" t="str"/>
      <x:c r="C81" s="20" t="str"/>
      <x:c r="D81" s="20" t="str"/>
      <x:c r="E81" s="20" t="str"/>
      <x:c r="F81" s="20" t="str"/>
      <x:c r="G81" s="20" t="str"/>
      <x:c r="H81" s="20" t="str"/>
    </x:row>
    <x:row r="82">
      <x:c r="A82" s="20" t="str"/>
      <x:c r="B82" s="20" t="str"/>
      <x:c r="C82" s="20" t="str"/>
      <x:c r="D82" s="20" t="str"/>
      <x:c r="E82" s="20" t="str"/>
      <x:c r="F82" s="20" t="str"/>
      <x:c r="G82" s="20" t="str"/>
      <x:c r="H82" s="20" t="str"/>
    </x:row>
    <x:row r="83">
      <x:c r="A83" s="20" t="str"/>
      <x:c r="B83" s="20" t="str"/>
      <x:c r="C83" s="20" t="str"/>
      <x:c r="D83" s="20" t="str"/>
      <x:c r="E83" s="20" t="str"/>
      <x:c r="F83" s="20" t="str"/>
      <x:c r="G83" s="20" t="str"/>
      <x:c r="H83" s="20" t="str"/>
    </x:row>
    <x:row r="84">
      <x:c r="A84" s="20" t="str"/>
      <x:c r="B84" s="20" t="str"/>
      <x:c r="C84" s="20" t="str"/>
      <x:c r="D84" s="20" t="str"/>
      <x:c r="E84" s="20" t="str"/>
      <x:c r="F84" s="20" t="str"/>
      <x:c r="G84" s="20" t="str"/>
      <x:c r="H84" s="20" t="str"/>
    </x:row>
    <x:row r="85">
      <x:c r="A85" s="20" t="str"/>
      <x:c r="B85" s="20" t="str"/>
      <x:c r="C85" s="20" t="str"/>
      <x:c r="D85" s="20" t="str"/>
      <x:c r="E85" s="20" t="str"/>
      <x:c r="F85" s="20" t="str"/>
      <x:c r="G85" s="20" t="str"/>
      <x:c r="H85" s="20" t="str"/>
    </x:row>
    <x:row r="86">
      <x:c r="A86" s="20" t="str"/>
      <x:c r="B86" s="20" t="str"/>
      <x:c r="C86" s="20" t="str"/>
      <x:c r="D86" s="20" t="str"/>
      <x:c r="E86" s="20" t="str"/>
      <x:c r="F86" s="20" t="str"/>
      <x:c r="G86" s="20" t="str"/>
      <x:c r="H86" s="20" t="str"/>
    </x:row>
    <x:row r="87">
      <x:c r="A87" s="20" t="str"/>
      <x:c r="B87" s="20" t="str"/>
      <x:c r="C87" s="20" t="str"/>
      <x:c r="D87" s="20" t="str"/>
      <x:c r="E87" s="20" t="str"/>
      <x:c r="F87" s="20" t="str"/>
      <x:c r="G87" s="20" t="str"/>
      <x:c r="H87" s="20" t="str"/>
    </x:row>
    <x:row r="88">
      <x:c r="A88" s="20" t="str"/>
      <x:c r="B88" s="20" t="str"/>
      <x:c r="C88" s="20" t="str"/>
      <x:c r="D88" s="20" t="str"/>
      <x:c r="E88" s="20" t="str"/>
      <x:c r="F88" s="20" t="str"/>
      <x:c r="G88" s="20" t="str"/>
      <x:c r="H88" s="20" t="str"/>
    </x:row>
    <x:row r="89">
      <x:c r="A89" s="20" t="str"/>
      <x:c r="B89" s="20" t="str"/>
      <x:c r="C89" s="20" t="str"/>
      <x:c r="D89" s="20" t="str"/>
      <x:c r="E89" s="20" t="str"/>
      <x:c r="F89" s="20" t="str"/>
      <x:c r="G89" s="20" t="str"/>
      <x:c r="H89" s="20" t="str"/>
    </x:row>
    <x:row r="90">
      <x:c r="A90" s="20" t="str"/>
      <x:c r="B90" s="20" t="str"/>
      <x:c r="C90" s="20" t="str"/>
      <x:c r="D90" s="20" t="str"/>
      <x:c r="E90" s="20" t="str"/>
      <x:c r="F90" s="20" t="str"/>
      <x:c r="G90" s="20" t="str"/>
      <x:c r="H90" s="20" t="str"/>
    </x:row>
    <x:row r="91">
      <x:c r="A91" s="20" t="str"/>
      <x:c r="B91" s="20" t="str"/>
      <x:c r="C91" s="20" t="str"/>
      <x:c r="D91" s="20" t="str"/>
      <x:c r="E91" s="20" t="str"/>
      <x:c r="F91" s="20" t="str"/>
      <x:c r="G91" s="20" t="str"/>
      <x:c r="H91" s="20" t="str"/>
    </x:row>
    <x:row r="92">
      <x:c r="A92" s="20" t="str"/>
      <x:c r="B92" s="20" t="str"/>
      <x:c r="C92" s="20" t="str"/>
      <x:c r="D92" s="20" t="str"/>
      <x:c r="E92" s="20" t="str"/>
      <x:c r="F92" s="20" t="str"/>
      <x:c r="G92" s="20" t="str"/>
      <x:c r="H92" s="20" t="str"/>
    </x:row>
    <x:row r="93">
      <x:c r="A93" s="20" t="str"/>
      <x:c r="B93" s="20" t="str"/>
      <x:c r="C93" s="20" t="str"/>
      <x:c r="D93" s="20" t="str"/>
      <x:c r="E93" s="20" t="str"/>
      <x:c r="F93" s="20" t="str"/>
      <x:c r="G93" s="20" t="str"/>
      <x:c r="H93" s="20" t="str"/>
    </x:row>
    <x:row r="94">
      <x:c r="A94" s="20" t="str"/>
      <x:c r="B94" s="20" t="str"/>
      <x:c r="C94" s="20" t="str"/>
      <x:c r="D94" s="20" t="str"/>
      <x:c r="E94" s="20" t="str"/>
      <x:c r="F94" s="20" t="str"/>
      <x:c r="G94" s="20" t="str"/>
      <x:c r="H94" s="20" t="str"/>
    </x:row>
    <x:row r="95">
      <x:c r="A95" s="20" t="str"/>
      <x:c r="B95" s="20" t="str"/>
      <x:c r="C95" s="20" t="str"/>
      <x:c r="D95" s="20" t="str"/>
      <x:c r="E95" s="20" t="str"/>
      <x:c r="F95" s="20" t="str"/>
      <x:c r="G95" s="20" t="str"/>
      <x:c r="H95" s="20" t="str"/>
    </x:row>
    <x:row r="96">
      <x:c r="A96" s="20" t="str"/>
      <x:c r="B96" s="20" t="str"/>
      <x:c r="C96" s="20" t="str"/>
      <x:c r="D96" s="20" t="str"/>
      <x:c r="E96" s="20" t="str"/>
      <x:c r="F96" s="20" t="str"/>
      <x:c r="G96" s="20" t="str"/>
      <x:c r="H96" s="20" t="str"/>
    </x:row>
    <x:row r="97">
      <x:c r="A97" s="20" t="str"/>
      <x:c r="B97" s="20" t="str"/>
      <x:c r="C97" s="20" t="str"/>
      <x:c r="D97" s="20" t="str"/>
      <x:c r="E97" s="20" t="str"/>
      <x:c r="F97" s="20" t="str"/>
      <x:c r="G97" s="20" t="str"/>
      <x:c r="H97" s="20" t="str"/>
    </x:row>
    <x:row r="98">
      <x:c r="A98" s="20" t="str"/>
      <x:c r="B98" s="20" t="str"/>
      <x:c r="C98" s="20" t="str"/>
      <x:c r="D98" s="20" t="str"/>
      <x:c r="E98" s="20" t="str"/>
      <x:c r="F98" s="20" t="str"/>
      <x:c r="G98" s="20" t="str"/>
      <x:c r="H98" s="20" t="str"/>
    </x:row>
    <x:row r="99">
      <x:c r="A99" s="20" t="str"/>
      <x:c r="B99" s="20" t="str"/>
      <x:c r="C99" s="20" t="str"/>
      <x:c r="D99" s="20" t="str"/>
      <x:c r="E99" s="20" t="str"/>
      <x:c r="F99" s="20" t="str"/>
      <x:c r="G99" s="20" t="str"/>
      <x:c r="H99" s="20" t="str"/>
    </x:row>
    <x:row r="100">
      <x:c r="A100" s="20" t="str"/>
      <x:c r="B100" s="20" t="str"/>
      <x:c r="C100" s="20" t="str"/>
      <x:c r="D100" s="20" t="str"/>
      <x:c r="E100" s="20" t="str"/>
      <x:c r="F100" s="20" t="str"/>
      <x:c r="G100" s="20" t="str"/>
      <x:c r="H100" s="20" t="str"/>
    </x:row>
    <x:row r="101">
      <x:c r="A101" s="20" t="str"/>
      <x:c r="B101" s="20" t="str"/>
      <x:c r="C101" s="20" t="str"/>
      <x:c r="D101" s="20" t="str"/>
      <x:c r="E101" s="20" t="str"/>
      <x:c r="F101" s="20" t="str"/>
      <x:c r="G101" s="20" t="str"/>
      <x:c r="H101" s="20" t="str"/>
    </x:row>
  </x:sheetData>
  <x:dataValidations count="1">
    <x:dataValidation type="list" sqref="E2:E101">
      <x:formula1>"C,S"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</x:cols>
  <x:sheetData>
    <x:row r="1">
      <x:c r="A1" s="24" t="str">
        <x:v>No.</x:v>
      </x:c>
      <x:c r="B1" s="24" t="str">
        <x:v>Depth from (m)</x:v>
      </x:c>
      <x:c r="C1" s="24" t="str">
        <x:v>Depth to (m)</x:v>
      </x:c>
      <x:c r="D1" s="24" t="str">
        <x:v>g (t/m³)</x:v>
      </x:c>
      <x:c r="E1" s="24" t="str">
        <x:v>Soil type</x:v>
      </x:c>
      <x:c r="F1" s="24" t="str">
        <x:v>Soil name</x:v>
      </x:c>
      <x:c r="G1" s="24" t="str">
        <x:v>Input su1 (t/m²)</x:v>
      </x:c>
      <x:c r="H1" s="24" t="str">
        <x:v>SPT (blow/ft)</x:v>
      </x:c>
      <x:c r="I1" s="24" t="str">
        <x:v>H (m)</x:v>
      </x:c>
      <x:c r="J1" s="24" t="str">
        <x:v>g' (t/m³)</x:v>
      </x:c>
      <x:c r="K1" s="24" t="str">
        <x:v>g'H (t/m²)</x:v>
      </x:c>
      <x:c r="L1" s="24" t="str">
        <x:v>s'v01 bottom (t/m²)</x:v>
      </x:c>
      <x:c r="M1" s="24" t="str">
        <x:v>s'v02 mid (t/m²)</x:v>
      </x:c>
      <x:c r="N1" s="24" t="str">
        <x:v>su2=0.52SPT (t/m²)</x:v>
      </x:c>
      <x:c r="O1" s="24" t="str">
        <x:v>su (t/m²)</x:v>
      </x:c>
      <x:c r="P1" s="24" t="str">
        <x:v>alpha</x:v>
      </x:c>
      <x:c r="Q1" s="24" t="str">
        <x:v>CN</x:v>
      </x:c>
      <x:c r="R1" s="24" t="str">
        <x:v>N'=CN*SPT</x:v>
      </x:c>
      <x:c r="S1" s="24" t="str">
        <x:v>phi (deg)</x:v>
      </x:c>
      <x:c r="T1" s="24" t="str">
        <x:v>K0</x:v>
      </x:c>
      <x:c r="U1" s="24" t="str">
        <x:v>Ks driven</x:v>
      </x:c>
      <x:c r="V1" s="24" t="str">
        <x:v>Ks bored</x:v>
      </x:c>
      <x:c r="W1" s="24" t="str">
        <x:v>Ks</x:v>
      </x:c>
      <x:c r="X1" s="24" t="str">
        <x:v>delta (deg)</x:v>
      </x:c>
      <x:c r="Y1" s="24" t="str">
        <x:v>beta</x:v>
      </x:c>
      <x:c r="Z1" s="24" t="str">
        <x:v>fsc=alpha*su (t/m²)</x:v>
      </x:c>
      <x:c r="AA1" s="24" t="str">
        <x:v>fss=beta*s'v02 (t/m²)</x:v>
      </x:c>
      <x:c r="AB1" s="24" t="str">
        <x:v>fsc or fss (t/m²)</x:v>
      </x:c>
      <x:c r="AC1" s="24" t="str">
        <x:v>fs active (t/m²)</x:v>
      </x:c>
      <x:c r="AD1" s="24" t="str">
        <x:v>Asi (m²)</x:v>
      </x:c>
      <x:c r="AE1" s="24" t="str">
        <x:v>Qsi (ton)</x:v>
      </x:c>
      <x:c r="AF1" s="24" t="str">
        <x:v>Qs cumulative (ton)</x:v>
      </x:c>
      <x:c r="AG1" s="24" t="str">
        <x:v>Nq driven</x:v>
      </x:c>
      <x:c r="AH1" s="24" t="str">
        <x:v>Nq bored</x:v>
      </x:c>
      <x:c r="AI1" s="24" t="str">
        <x:v>Nq</x:v>
      </x:c>
      <x:c r="AJ1" s="24" t="str">
        <x:v>Ngamma</x:v>
      </x:c>
      <x:c r="AK1" s="24" t="str">
        <x:v>qec=9su (t/m²)</x:v>
      </x:c>
      <x:c r="AL1" s="24" t="str">
        <x:v>qes=(Nq-1)s'v01 (t/m²)</x:v>
      </x:c>
      <x:c r="AM1" s="24" t="str">
        <x:v>qe (t/m²)</x:v>
      </x:c>
      <x:c r="AN1" s="24" t="str">
        <x:v>qe,ave (t/m²)</x:v>
      </x:c>
      <x:c r="AO1" s="24" t="str">
        <x:v>Qe (ton)</x:v>
      </x:c>
      <x:c r="AP1" s="24" t="str">
        <x:v>Qult (ton)</x:v>
      </x:c>
      <x:c r="AQ1" s="24" t="str">
        <x:v>Qall (ton)</x:v>
      </x:c>
      <x:c r="AR1" s="24" t="str">
        <x:v>fc,all (t/m²)</x:v>
      </x:c>
      <x:c r="AS1" s="24" t="str">
        <x:v>Qc,all (ton)</x:v>
      </x:c>
    </x:row>
    <x:row r="2">
      <x:c r="A2" s="20" t="n">
        <x:f>Layer_Input!A2</x:f>
        <x:v>1</x:v>
      </x:c>
      <x:c r="B2" s="20" t="n">
        <x:f>Layer_Input!B2</x:f>
        <x:v>0</x:v>
      </x:c>
      <x:c r="C2" s="20" t="n">
        <x:f>Layer_Input!C2</x:f>
        <x:v>1</x:v>
      </x:c>
      <x:c r="D2" s="20" t="n">
        <x:f>Layer_Input!D2</x:f>
        <x:v>1.8</x:v>
      </x:c>
      <x:c r="E2" s="20" t="str">
        <x:f>Layer_Input!E2</x:f>
        <x:v>C</x:v>
      </x:c>
      <x:c r="F2" s="20" t="str">
        <x:f>Layer_Input!F2</x:f>
        <x:v>Clay</x:v>
      </x:c>
      <x:c r="G2" s="20" t="n">
        <x:f>Layer_Input!G2</x:f>
        <x:v>2</x:v>
      </x:c>
      <x:c r="H2" s="20" t="n">
        <x:f>Layer_Input!H2</x:f>
        <x:v>0</x:v>
      </x:c>
      <x:c r="I2" s="20" t="n">
        <x:f>MAX(C2-B2,0)</x:f>
        <x:v>1</x:v>
      </x:c>
      <x:c r="J2" s="20" t="n">
        <x:f>MAX(IF(B2&lt;Pile_Input!$B$9,D2,D2-Pile_Input!$B$10),0)</x:f>
        <x:v>0.8</x:v>
      </x:c>
      <x:c r="K2" s="20" t="n">
        <x:f>J2*I2</x:f>
        <x:v>0.8</x:v>
      </x:c>
      <x:c r="L2" s="20" t="str">
        <x:f>IF(B2="","",SUM($K$2:K2))</x:f>
      </x:c>
      <x:c r="M2" s="20" t="str">
        <x:f>IF(B2="","",L2-K2/2)</x:f>
      </x:c>
      <x:c r="N2" s="20" t="n">
        <x:f>IF(ISNUMBER(H2),0.52*H2,"")</x:f>
        <x:v>0</x:v>
      </x:c>
      <x:c r="O2" s="20" t="n">
        <x:f>IF(E2="C",AVERAGE(G2,N2),0)</x:f>
        <x:v>1</x:v>
      </x:c>
      <x:c r="P2" s="20" t="n">
        <x:f>IF(E2="C",0.93*EXP(-0.0536*O2),0)</x:f>
        <x:v>0.8814643742886392</x:v>
      </x:c>
      <x:c r="Q2" s="20" t="n">
        <x:f>IF(E2="S",0.77*LOG10(20*95.76/MAX(M2*9.81,0.0001)),0)</x:f>
        <x:v>0</x:v>
      </x:c>
      <x:c r="R2" s="20" t="n">
        <x:f>Q2*H2</x:f>
        <x:v>0</x:v>
      </x:c>
      <x:c r="S2" s="20" t="n">
        <x:f>IF(E2="S",27.1+0.3*R2-0.00054*R2^2,0)</x:f>
        <x:v>0</x:v>
      </x:c>
      <x:c r="T2" s="20" t="n">
        <x:f>IF(E2="S",1-SIN(RADIANS(S2)),0)</x:f>
        <x:v>0</x:v>
      </x:c>
      <x:c r="U2" s="20" t="n">
        <x:f>1.5*T2</x:f>
        <x:v>0</x:v>
      </x:c>
      <x:c r="V2" s="20" t="n">
        <x:f>0.85*T2</x:f>
        <x:v>0</x:v>
      </x:c>
      <x:c r="W2" s="20" t="n">
        <x:f>IF(Pile_Input!$B$5&gt;1.5,U2,V2)</x:f>
        <x:v>0</x:v>
      </x:c>
      <x:c r="X2" s="20" t="n">
        <x:f>0.75*S2</x:f>
        <x:v>0</x:v>
      </x:c>
      <x:c r="Y2" s="20" t="n">
        <x:f>IF(E2="S",W2*TAN(RADIANS(X2)),0)</x:f>
        <x:v>0</x:v>
      </x:c>
      <x:c r="Z2" s="20" t="n">
        <x:f>P2*O2</x:f>
        <x:v>0.8814643742886392</x:v>
      </x:c>
      <x:c r="AA2" s="20" t="n">
        <x:f>Y2*M2</x:f>
        <x:v>0</x:v>
      </x:c>
      <x:c r="AB2" s="20" t="n">
        <x:f>IF(E2="C",Z2,IF(E2="S",AA2,0))</x:f>
        <x:v>0.8814643742886392</x:v>
      </x:c>
      <x:c r="AC2" s="20" t="n">
        <x:f>IF(B2&lt;Pile_Input!$B$8,0,MAX(AB2,0))</x:f>
        <x:v>0</x:v>
      </x:c>
      <x:c r="AD2" s="20" t="n">
        <x:f>Pile_Input!$B$7*I2</x:f>
        <x:v>1.8849555921538759</x:v>
      </x:c>
      <x:c r="AE2" s="20" t="n">
        <x:f>AC2*AD2</x:f>
        <x:v>0</x:v>
      </x:c>
      <x:c r="AF2" s="20" t="n">
        <x:f>SUM($AE$2:AE2)</x:f>
        <x:v>0</x:v>
      </x:c>
      <x:c r="AG2" s="20" t="n">
        <x:f>IF(E2="S",EXP(PI()*TAN(RADIANS(S2)))*TAN(RADIANS(45+S2/2))^2*(1+TAN(RADIANS(S2))),0)</x:f>
        <x:v>0</x:v>
      </x:c>
      <x:c r="AH2" s="20" t="n">
        <x:f>IF(E2="S",0.6934*EXP(0.0974*S2),0)</x:f>
        <x:v>0</x:v>
      </x:c>
      <x:c r="AI2" s="20" t="n">
        <x:f>IF(Pile_Input!$B$5&gt;1.5,AG2,AH2)</x:f>
        <x:v>0</x:v>
      </x:c>
      <x:c r="AJ2" s="20" t="n">
        <x:f>IF(E2="S",2*(AI2+1)*TAN(RADIANS(S2)),0)</x:f>
        <x:v>0</x:v>
      </x:c>
      <x:c r="AK2" s="20" t="n">
        <x:f>MIN(9*O2,Pile_Input!$B$12)</x:f>
        <x:v>2.5</x:v>
      </x:c>
      <x:c r="AL2" s="20" t="n">
        <x:f>MIN((AI2-1)*L2,Pile_Input!$B$12)</x:f>
        <x:v>0</x:v>
      </x:c>
      <x:c r="AM2" s="20" t="n">
        <x:f>IF(E2="C",AK2,IF(E2="S",AL2,0))</x:f>
        <x:v>2.5</x:v>
      </x:c>
      <x:c r="AN2" s="20" t="e">
        <x:f>AVERAGE(INDEX($AM:$AM,MAX(2,ROW()-1)):INDEX($AM:$AM,MIN(101,ROW()+2)))</x:f>
      </x:c>
      <x:c r="AO2" s="20" t="e">
        <x:f>AN2*Pile_Input!$B$7</x:f>
      </x:c>
      <x:c r="AP2" s="20" t="e">
        <x:f>AF2+AO2</x:f>
      </x:c>
      <x:c r="AQ2" s="20" t="e">
        <x:f>AP2/Pile_Input!$B$11</x:f>
      </x:c>
      <x:c r="AR2" s="20" t="n">
        <x:f>0.25*Pile_Input!$B$4*10</x:f>
        <x:v>875</x:v>
      </x:c>
      <x:c r="AS2" s="20" t="n">
        <x:f>Pile_Input!$B$7*AR2</x:f>
        <x:v>1649.3361431346414</x:v>
      </x:c>
    </x:row>
    <x:row r="3">
      <x:c r="A3" s="20" t="n">
        <x:f>Layer_Input!A3</x:f>
        <x:v>2</x:v>
      </x:c>
      <x:c r="B3" s="20" t="n">
        <x:f>Layer_Input!B3</x:f>
        <x:v>1</x:v>
      </x:c>
      <x:c r="C3" s="20" t="n">
        <x:f>Layer_Input!C3</x:f>
        <x:v>2</x:v>
      </x:c>
      <x:c r="D3" s="20" t="n">
        <x:f>Layer_Input!D3</x:f>
        <x:v>1.8</x:v>
      </x:c>
      <x:c r="E3" s="20" t="str">
        <x:f>Layer_Input!E3</x:f>
        <x:v>C</x:v>
      </x:c>
      <x:c r="F3" s="20" t="str">
        <x:f>Layer_Input!F3</x:f>
        <x:v>Clay</x:v>
      </x:c>
      <x:c r="G3" s="20" t="n">
        <x:f>Layer_Input!G3</x:f>
        <x:v>2.1</x:v>
      </x:c>
      <x:c r="H3" s="20" t="n">
        <x:f>Layer_Input!H3</x:f>
        <x:v>0</x:v>
      </x:c>
      <x:c r="I3" s="20" t="n">
        <x:f>MAX(C3-B3,0)</x:f>
        <x:v>1</x:v>
      </x:c>
      <x:c r="J3" s="20" t="n">
        <x:f>MAX(IF(B3&lt;Pile_Input!$B$9,D3,D3-Pile_Input!$B$10),0)</x:f>
        <x:v>0.8</x:v>
      </x:c>
      <x:c r="K3" s="20" t="n">
        <x:f>J3*I3</x:f>
        <x:v>0.8</x:v>
      </x:c>
      <x:c r="L3" s="20" t="n">
        <x:f>IF(B3="","",SUM($K$2:K3))</x:f>
        <x:v>1.6</x:v>
      </x:c>
      <x:c r="M3" s="20" t="n">
        <x:f>IF(B3="","",L3-K3/2)</x:f>
        <x:v>1.2000000000000002</x:v>
      </x:c>
      <x:c r="N3" s="20" t="n">
        <x:f>IF(ISNUMBER(H3),0.52*H3,"")</x:f>
        <x:v>0</x:v>
      </x:c>
      <x:c r="O3" s="20" t="n">
        <x:f>IF(E3="C",AVERAGE(G3,N3),0)</x:f>
        <x:v>1.05</x:v>
      </x:c>
      <x:c r="P3" s="20" t="n">
        <x:f>IF(E3="C",0.93*EXP(-0.0536*O3),0)</x:f>
        <x:v>0.8791052124544404</x:v>
      </x:c>
      <x:c r="Q3" s="20" t="n">
        <x:f>IF(E3="S",0.77*LOG10(20*95.76/MAX(M3*9.81,0.0001)),0)</x:f>
        <x:v>0</x:v>
      </x:c>
      <x:c r="R3" s="20" t="n">
        <x:f>Q3*H3</x:f>
        <x:v>0</x:v>
      </x:c>
      <x:c r="S3" s="20" t="n">
        <x:f>IF(E3="S",27.1+0.3*R3-0.00054*R3^2,0)</x:f>
        <x:v>0</x:v>
      </x:c>
      <x:c r="T3" s="20" t="n">
        <x:f>IF(E3="S",1-SIN(RADIANS(S3)),0)</x:f>
        <x:v>0</x:v>
      </x:c>
      <x:c r="U3" s="20" t="n">
        <x:f>1.5*T3</x:f>
        <x:v>0</x:v>
      </x:c>
      <x:c r="V3" s="20" t="n">
        <x:f>0.85*T3</x:f>
        <x:v>0</x:v>
      </x:c>
      <x:c r="W3" s="20" t="n">
        <x:f>IF(Pile_Input!$B$5&gt;1.5,U3,V3)</x:f>
        <x:v>0</x:v>
      </x:c>
      <x:c r="X3" s="20" t="n">
        <x:f>0.75*S3</x:f>
        <x:v>0</x:v>
      </x:c>
      <x:c r="Y3" s="20" t="n">
        <x:f>IF(E3="S",W3*TAN(RADIANS(X3)),0)</x:f>
        <x:v>0</x:v>
      </x:c>
      <x:c r="Z3" s="20" t="n">
        <x:f>P3*O3</x:f>
        <x:v>0.9230604730771624</x:v>
      </x:c>
      <x:c r="AA3" s="20" t="n">
        <x:f>Y3*M3</x:f>
        <x:v>0</x:v>
      </x:c>
      <x:c r="AB3" s="20" t="n">
        <x:f>IF(E3="C",Z3,IF(E3="S",AA3,0))</x:f>
        <x:v>0.9230604730771624</x:v>
      </x:c>
      <x:c r="AC3" s="20" t="n">
        <x:f>IF(B3&lt;Pile_Input!$B$8,0,MAX(AB3,0))</x:f>
        <x:v>0.9230604730771624</x:v>
      </x:c>
      <x:c r="AD3" s="20" t="n">
        <x:f>Pile_Input!$B$7*I3</x:f>
        <x:v>1.8849555921538759</x:v>
      </x:c>
      <x:c r="AE3" s="20" t="n">
        <x:f>AC3*AD3</x:f>
        <x:v>1.7399280006229996</x:v>
      </x:c>
      <x:c r="AF3" s="20" t="n">
        <x:f>SUM($AE$2:AE3)</x:f>
        <x:v>1.7399280006229996</x:v>
      </x:c>
      <x:c r="AG3" s="20" t="n">
        <x:f>IF(E3="S",EXP(PI()*TAN(RADIANS(S3)))*TAN(RADIANS(45+S3/2))^2*(1+TAN(RADIANS(S3))),0)</x:f>
        <x:v>0</x:v>
      </x:c>
      <x:c r="AH3" s="20" t="n">
        <x:f>IF(E3="S",0.6934*EXP(0.0974*S3),0)</x:f>
        <x:v>0</x:v>
      </x:c>
      <x:c r="AI3" s="20" t="n">
        <x:f>IF(Pile_Input!$B$5&gt;1.5,AG3,AH3)</x:f>
        <x:v>0</x:v>
      </x:c>
      <x:c r="AJ3" s="20" t="n">
        <x:f>IF(E3="S",2*(AI3+1)*TAN(RADIANS(S3)),0)</x:f>
        <x:v>0</x:v>
      </x:c>
      <x:c r="AK3" s="20" t="n">
        <x:f>MIN(9*O3,Pile_Input!$B$12)</x:f>
        <x:v>2.5</x:v>
      </x:c>
      <x:c r="AL3" s="20" t="n">
        <x:f>MIN((AI3-1)*L3,Pile_Input!$B$12)</x:f>
        <x:v>-1.6</x:v>
      </x:c>
      <x:c r="AM3" s="20" t="n">
        <x:f>IF(E3="C",AK3,IF(E3="S",AL3,0))</x:f>
        <x:v>2.5</x:v>
      </x:c>
      <x:c r="AN3" s="20" t="e">
        <x:f>AVERAGE(INDEX($AM:$AM,MAX(2,ROW()-1)):INDEX($AM:$AM,MIN(101,ROW()+2)))</x:f>
      </x:c>
      <x:c r="AO3" s="20" t="e">
        <x:f>AN3*Pile_Input!$B$7</x:f>
      </x:c>
      <x:c r="AP3" s="20" t="e">
        <x:f>AF3+AO3</x:f>
      </x:c>
      <x:c r="AQ3" s="20" t="e">
        <x:f>AP3/Pile_Input!$B$11</x:f>
      </x:c>
      <x:c r="AR3" s="20" t="n">
        <x:f>0.25*Pile_Input!$B$4*10</x:f>
        <x:v>875</x:v>
      </x:c>
      <x:c r="AS3" s="20" t="n">
        <x:f>Pile_Input!$B$7*AR3</x:f>
        <x:v>1649.3361431346414</x:v>
      </x:c>
    </x:row>
    <x:row r="4">
      <x:c r="A4" s="20" t="n">
        <x:f>Layer_Input!A4</x:f>
        <x:v>3</x:v>
      </x:c>
      <x:c r="B4" s="20" t="n">
        <x:f>Layer_Input!B4</x:f>
        <x:v>2</x:v>
      </x:c>
      <x:c r="C4" s="20" t="n">
        <x:f>Layer_Input!C4</x:f>
        <x:v>3</x:v>
      </x:c>
      <x:c r="D4" s="20" t="n">
        <x:f>Layer_Input!D4</x:f>
        <x:v>1.85</x:v>
      </x:c>
      <x:c r="E4" s="20" t="str">
        <x:f>Layer_Input!E4</x:f>
        <x:v>S</x:v>
      </x:c>
      <x:c r="F4" s="20" t="str">
        <x:f>Layer_Input!F4</x:f>
        <x:v>Sand</x:v>
      </x:c>
      <x:c r="G4" s="20" t="n">
        <x:f>Layer_Input!G4</x:f>
        <x:v>0</x:v>
      </x:c>
      <x:c r="H4" s="20" t="n">
        <x:f>Layer_Input!H4</x:f>
        <x:v>10</x:v>
      </x:c>
      <x:c r="I4" s="20" t="n">
        <x:f>MAX(C4-B4,0)</x:f>
        <x:v>1</x:v>
      </x:c>
      <x:c r="J4" s="20" t="n">
        <x:f>MAX(IF(B4&lt;Pile_Input!$B$9,D4,D4-Pile_Input!$B$10),0)</x:f>
        <x:v>0.8500000000000001</x:v>
      </x:c>
      <x:c r="K4" s="20" t="n">
        <x:f>J4*I4</x:f>
        <x:v>0.8500000000000001</x:v>
      </x:c>
      <x:c r="L4" s="20" t="n">
        <x:f>IF(B4="","",SUM($K$2:K4))</x:f>
        <x:v>2.45</x:v>
      </x:c>
      <x:c r="M4" s="20" t="n">
        <x:f>IF(B4="","",L4-K4/2)</x:f>
        <x:v>2.0250000000000004</x:v>
      </x:c>
      <x:c r="N4" s="20" t="n">
        <x:f>IF(ISNUMBER(H4),0.52*H4,"")</x:f>
        <x:v>5.2</x:v>
      </x:c>
      <x:c r="O4" s="20" t="n">
        <x:f>IF(E4="C",AVERAGE(G4,N4),0)</x:f>
        <x:v>0</x:v>
      </x:c>
      <x:c r="P4" s="20" t="n">
        <x:f>IF(E4="C",0.93*EXP(-0.0536*O4),0)</x:f>
        <x:v>0</x:v>
      </x:c>
      <x:c r="Q4" s="20" t="n">
        <x:f>IF(E4="S",0.77*LOG10(20*95.76/MAX(M4*9.81,0.0001)),0)</x:f>
        <x:v>1.527772475561409</x:v>
      </x:c>
      <x:c r="R4" s="20" t="n">
        <x:f>Q4*H4</x:f>
        <x:v>15.277724755614091</x:v>
      </x:c>
      <x:c r="S4" s="20" t="n">
        <x:f>IF(E4="S",27.1+0.3*R4-0.00054*R4^2,0)</x:f>
        <x:v>31.557276634881745</x:v>
      </x:c>
      <x:c r="T4" s="20" t="n">
        <x:f>IF(E4="S",1-SIN(RADIANS(S4)),0)</x:f>
        <x:v>0.4766493412348646</x:v>
      </x:c>
      <x:c r="U4" s="20" t="n">
        <x:f>1.5*T4</x:f>
        <x:v>0.7149740118522969</x:v>
      </x:c>
      <x:c r="V4" s="20" t="n">
        <x:f>0.85*T4</x:f>
        <x:v>0.4051519400496349</x:v>
      </x:c>
      <x:c r="W4" s="20" t="n">
        <x:f>IF(Pile_Input!$B$5&gt;1.5,U4,V4)</x:f>
        <x:v>0.4051519400496349</x:v>
      </x:c>
      <x:c r="X4" s="20" t="n">
        <x:f>0.75*S4</x:f>
        <x:v>23.66795747616131</x:v>
      </x:c>
      <x:c r="Y4" s="20" t="n">
        <x:f>IF(E4="S",W4*TAN(RADIANS(X4)),0)</x:f>
        <x:v>0.17757909291755697</x:v>
      </x:c>
      <x:c r="Z4" s="20" t="n">
        <x:f>P4*O4</x:f>
        <x:v>0</x:v>
      </x:c>
      <x:c r="AA4" s="20" t="n">
        <x:f>Y4*M4</x:f>
        <x:v>0.3595976631580529</x:v>
      </x:c>
      <x:c r="AB4" s="20" t="n">
        <x:f>IF(E4="C",Z4,IF(E4="S",AA4,0))</x:f>
        <x:v>0.3595976631580529</x:v>
      </x:c>
      <x:c r="AC4" s="20" t="n">
        <x:f>IF(B4&lt;Pile_Input!$B$8,0,MAX(AB4,0))</x:f>
        <x:v>0.3595976631580529</x:v>
      </x:c>
      <x:c r="AD4" s="20" t="n">
        <x:f>Pile_Input!$B$7*I4</x:f>
        <x:v>1.8849555921538759</x:v>
      </x:c>
      <x:c r="AE4" s="20" t="n">
        <x:f>AC4*AD4</x:f>
        <x:v>0.6778256260952377</x:v>
      </x:c>
      <x:c r="AF4" s="20" t="n">
        <x:f>SUM($AE$2:AE4)</x:f>
        <x:v>2.417753626718237</x:v>
      </x:c>
      <x:c r="AG4" s="20" t="n">
        <x:f>IF(E4="S",EXP(PI()*TAN(RADIANS(S4)))*TAN(RADIANS(45+S4/2))^2*(1+TAN(RADIANS(S4))),0)</x:f>
        <x:v>35.523857792778365</x:v>
      </x:c>
      <x:c r="AH4" s="20" t="n">
        <x:f>IF(E4="S",0.6934*EXP(0.0974*S4),0)</x:f>
        <x:v>14.992206486390911</x:v>
      </x:c>
      <x:c r="AI4" s="20" t="n">
        <x:f>IF(Pile_Input!$B$5&gt;1.5,AG4,AH4)</x:f>
        <x:v>14.992206486390911</x:v>
      </x:c>
      <x:c r="AJ4" s="20" t="n">
        <x:f>IF(E4="S",2*(AI4+1)*TAN(RADIANS(S4)),0)</x:f>
        <x:v>19.644081104449217</x:v>
      </x:c>
      <x:c r="AK4" s="20" t="n">
        <x:f>MIN(9*O4,Pile_Input!$B$12)</x:f>
        <x:v>0</x:v>
      </x:c>
      <x:c r="AL4" s="20" t="n">
        <x:f>MIN((AI4-1)*L4,Pile_Input!$B$12)</x:f>
        <x:v>2.5</x:v>
      </x:c>
      <x:c r="AM4" s="20" t="n">
        <x:f>IF(E4="C",AK4,IF(E4="S",AL4,0))</x:f>
        <x:v>2.5</x:v>
      </x:c>
      <x:c r="AN4" s="20" t="e">
        <x:f>AVERAGE(INDEX($AM:$AM,MAX(2,ROW()-1)):INDEX($AM:$AM,MIN(101,ROW()+2)))</x:f>
      </x:c>
      <x:c r="AO4" s="20" t="e">
        <x:f>AN4*Pile_Input!$B$7</x:f>
      </x:c>
      <x:c r="AP4" s="20" t="e">
        <x:f>AF4+AO4</x:f>
      </x:c>
      <x:c r="AQ4" s="20" t="e">
        <x:f>AP4/Pile_Input!$B$11</x:f>
      </x:c>
      <x:c r="AR4" s="20" t="n">
        <x:f>0.25*Pile_Input!$B$4*10</x:f>
        <x:v>875</x:v>
      </x:c>
      <x:c r="AS4" s="20" t="n">
        <x:f>Pile_Input!$B$7*AR4</x:f>
        <x:v>1649.3361431346414</x:v>
      </x:c>
    </x:row>
    <x:row r="5">
      <x:c r="A5" s="20" t="n">
        <x:f>Layer_Input!A5</x:f>
        <x:v>0</x:v>
      </x:c>
      <x:c r="B5" s="20" t="n">
        <x:f>Layer_Input!B5</x:f>
        <x:v>0</x:v>
      </x:c>
      <x:c r="C5" s="20" t="n">
        <x:f>Layer_Input!C5</x:f>
        <x:v>0</x:v>
      </x:c>
      <x:c r="D5" s="20" t="n">
        <x:f>Layer_Input!D5</x:f>
        <x:v>0</x:v>
      </x:c>
      <x:c r="E5" s="20" t="n">
        <x:f>Layer_Input!E5</x:f>
        <x:v>0</x:v>
      </x:c>
      <x:c r="F5" s="20" t="n">
        <x:f>Layer_Input!F5</x:f>
        <x:v>0</x:v>
      </x:c>
      <x:c r="G5" s="20" t="n">
        <x:f>Layer_Input!G5</x:f>
        <x:v>0</x:v>
      </x:c>
      <x:c r="H5" s="20" t="n">
        <x:f>Layer_Input!H5</x:f>
        <x:v>0</x:v>
      </x:c>
      <x:c r="I5" s="20" t="n">
        <x:f>MAX(C5-B5,0)</x:f>
        <x:v>0</x:v>
      </x:c>
      <x:c r="J5" s="20" t="n">
        <x:f>MAX(IF(B5&lt;Pile_Input!$B$9,D5,D5-Pile_Input!$B$10),0)</x:f>
        <x:v>0</x:v>
      </x:c>
      <x:c r="K5" s="20" t="n">
        <x:f>J5*I5</x:f>
        <x:v>0</x:v>
      </x:c>
      <x:c r="L5" s="20" t="str">
        <x:f>IF(B5="","",SUM($K$2:K5))</x:f>
      </x:c>
      <x:c r="M5" s="20" t="str">
        <x:f>IF(B5="","",L5-K5/2)</x:f>
      </x:c>
      <x:c r="N5" s="20" t="n">
        <x:f>IF(ISNUMBER(H5),0.52*H5,"")</x:f>
        <x:v>0</x:v>
      </x:c>
      <x:c r="O5" s="20" t="n">
        <x:f>IF(E5="C",AVERAGE(G5,N5),0)</x:f>
        <x:v>0</x:v>
      </x:c>
      <x:c r="P5" s="20" t="n">
        <x:f>IF(E5="C",0.93*EXP(-0.0536*O5),0)</x:f>
        <x:v>0</x:v>
      </x:c>
      <x:c r="Q5" s="20" t="n">
        <x:f>IF(E5="S",0.77*LOG10(20*95.76/MAX(M5*9.81,0.0001)),0)</x:f>
        <x:v>0</x:v>
      </x:c>
      <x:c r="R5" s="20" t="n">
        <x:f>Q5*H5</x:f>
        <x:v>0</x:v>
      </x:c>
      <x:c r="S5" s="20" t="n">
        <x:f>IF(E5="S",27.1+0.3*R5-0.00054*R5^2,0)</x:f>
        <x:v>0</x:v>
      </x:c>
      <x:c r="T5" s="20" t="n">
        <x:f>IF(E5="S",1-SIN(RADIANS(S5)),0)</x:f>
        <x:v>0</x:v>
      </x:c>
      <x:c r="U5" s="20" t="n">
        <x:f>1.5*T5</x:f>
        <x:v>0</x:v>
      </x:c>
      <x:c r="V5" s="20" t="n">
        <x:f>0.85*T5</x:f>
        <x:v>0</x:v>
      </x:c>
      <x:c r="W5" s="20" t="n">
        <x:f>IF(Pile_Input!$B$5&gt;1.5,U5,V5)</x:f>
        <x:v>0</x:v>
      </x:c>
      <x:c r="X5" s="20" t="n">
        <x:f>0.75*S5</x:f>
        <x:v>0</x:v>
      </x:c>
      <x:c r="Y5" s="20" t="n">
        <x:f>IF(E5="S",W5*TAN(RADIANS(X5)),0)</x:f>
        <x:v>0</x:v>
      </x:c>
      <x:c r="Z5" s="20" t="n">
        <x:f>P5*O5</x:f>
        <x:v>0</x:v>
      </x:c>
      <x:c r="AA5" s="20" t="n">
        <x:f>Y5*M5</x:f>
        <x:v>0</x:v>
      </x:c>
      <x:c r="AB5" s="20" t="n">
        <x:f>IF(E5="C",Z5,IF(E5="S",AA5,0))</x:f>
        <x:v>0</x:v>
      </x:c>
      <x:c r="AC5" s="20" t="n">
        <x:f>IF(B5&lt;Pile_Input!$B$8,0,MAX(AB5,0))</x:f>
        <x:v>0</x:v>
      </x:c>
      <x:c r="AD5" s="20" t="n">
        <x:f>Pile_Input!$B$7*I5</x:f>
        <x:v>0</x:v>
      </x:c>
      <x:c r="AE5" s="20" t="n">
        <x:f>AC5*AD5</x:f>
        <x:v>0</x:v>
      </x:c>
      <x:c r="AF5" s="20" t="n">
        <x:f>SUM($AE$2:AE5)</x:f>
        <x:v>2.417753626718237</x:v>
      </x:c>
      <x:c r="AG5" s="20" t="n">
        <x:f>IF(E5="S",EXP(PI()*TAN(RADIANS(S5)))*TAN(RADIANS(45+S5/2))^2*(1+TAN(RADIANS(S5))),0)</x:f>
        <x:v>0</x:v>
      </x:c>
      <x:c r="AH5" s="20" t="n">
        <x:f>IF(E5="S",0.6934*EXP(0.0974*S5),0)</x:f>
        <x:v>0</x:v>
      </x:c>
      <x:c r="AI5" s="20" t="n">
        <x:f>IF(Pile_Input!$B$5&gt;1.5,AG5,AH5)</x:f>
        <x:v>0</x:v>
      </x:c>
      <x:c r="AJ5" s="20" t="n">
        <x:f>IF(E5="S",2*(AI5+1)*TAN(RADIANS(S5)),0)</x:f>
        <x:v>0</x:v>
      </x:c>
      <x:c r="AK5" s="20" t="n">
        <x:f>MIN(9*O5,Pile_Input!$B$12)</x:f>
        <x:v>0</x:v>
      </x:c>
      <x:c r="AL5" s="20" t="n">
        <x:f>MIN((AI5-1)*L5,Pile_Input!$B$12)</x:f>
        <x:v>0</x:v>
      </x:c>
      <x:c r="AM5" s="20" t="n">
        <x:f>IF(E5="C",AK5,IF(E5="S",AL5,0))</x:f>
        <x:v>0</x:v>
      </x:c>
      <x:c r="AN5" s="20" t="e">
        <x:f>AVERAGE(INDEX($AM:$AM,MAX(2,ROW()-1)):INDEX($AM:$AM,MIN(101,ROW()+2)))</x:f>
      </x:c>
      <x:c r="AO5" s="20" t="e">
        <x:f>AN5*Pile_Input!$B$7</x:f>
      </x:c>
      <x:c r="AP5" s="20" t="e">
        <x:f>AF5+AO5</x:f>
      </x:c>
      <x:c r="AQ5" s="20" t="e">
        <x:f>AP5/Pile_Input!$B$11</x:f>
      </x:c>
      <x:c r="AR5" s="20" t="n">
        <x:f>0.25*Pile_Input!$B$4*10</x:f>
        <x:v>875</x:v>
      </x:c>
      <x:c r="AS5" s="20" t="n">
        <x:f>Pile_Input!$B$7*AR5</x:f>
        <x:v>1649.3361431346414</x:v>
      </x:c>
    </x:row>
    <x:row r="6">
      <x:c r="A6" s="20" t="n">
        <x:f>Layer_Input!A6</x:f>
        <x:v>0</x:v>
      </x:c>
      <x:c r="B6" s="20" t="n">
        <x:f>Layer_Input!B6</x:f>
        <x:v>0</x:v>
      </x:c>
      <x:c r="C6" s="20" t="n">
        <x:f>Layer_Input!C6</x:f>
        <x:v>0</x:v>
      </x:c>
      <x:c r="D6" s="20" t="n">
        <x:f>Layer_Input!D6</x:f>
        <x:v>0</x:v>
      </x:c>
      <x:c r="E6" s="20" t="n">
        <x:f>Layer_Input!E6</x:f>
        <x:v>0</x:v>
      </x:c>
      <x:c r="F6" s="20" t="n">
        <x:f>Layer_Input!F6</x:f>
        <x:v>0</x:v>
      </x:c>
      <x:c r="G6" s="20" t="n">
        <x:f>Layer_Input!G6</x:f>
        <x:v>0</x:v>
      </x:c>
      <x:c r="H6" s="20" t="n">
        <x:f>Layer_Input!H6</x:f>
        <x:v>0</x:v>
      </x:c>
      <x:c r="I6" s="20" t="n">
        <x:f>MAX(C6-B6,0)</x:f>
        <x:v>0</x:v>
      </x:c>
      <x:c r="J6" s="20" t="n">
        <x:f>MAX(IF(B6&lt;Pile_Input!$B$9,D6,D6-Pile_Input!$B$10),0)</x:f>
        <x:v>0</x:v>
      </x:c>
      <x:c r="K6" s="20" t="n">
        <x:f>J6*I6</x:f>
        <x:v>0</x:v>
      </x:c>
      <x:c r="L6" s="20" t="str">
        <x:f>IF(B6="","",SUM($K$2:K6))</x:f>
      </x:c>
      <x:c r="M6" s="20" t="str">
        <x:f>IF(B6="","",L6-K6/2)</x:f>
      </x:c>
      <x:c r="N6" s="20" t="n">
        <x:f>IF(ISNUMBER(H6),0.52*H6,"")</x:f>
        <x:v>0</x:v>
      </x:c>
      <x:c r="O6" s="20" t="n">
        <x:f>IF(E6="C",AVERAGE(G6,N6),0)</x:f>
        <x:v>0</x:v>
      </x:c>
      <x:c r="P6" s="20" t="n">
        <x:f>IF(E6="C",0.93*EXP(-0.0536*O6),0)</x:f>
        <x:v>0</x:v>
      </x:c>
      <x:c r="Q6" s="20" t="n">
        <x:f>IF(E6="S",0.77*LOG10(20*95.76/MAX(M6*9.81,0.0001)),0)</x:f>
        <x:v>0</x:v>
      </x:c>
      <x:c r="R6" s="20" t="n">
        <x:f>Q6*H6</x:f>
        <x:v>0</x:v>
      </x:c>
      <x:c r="S6" s="20" t="n">
        <x:f>IF(E6="S",27.1+0.3*R6-0.00054*R6^2,0)</x:f>
        <x:v>0</x:v>
      </x:c>
      <x:c r="T6" s="20" t="n">
        <x:f>IF(E6="S",1-SIN(RADIANS(S6)),0)</x:f>
        <x:v>0</x:v>
      </x:c>
      <x:c r="U6" s="20" t="n">
        <x:f>1.5*T6</x:f>
        <x:v>0</x:v>
      </x:c>
      <x:c r="V6" s="20" t="n">
        <x:f>0.85*T6</x:f>
        <x:v>0</x:v>
      </x:c>
      <x:c r="W6" s="20" t="n">
        <x:f>IF(Pile_Input!$B$5&gt;1.5,U6,V6)</x:f>
        <x:v>0</x:v>
      </x:c>
      <x:c r="X6" s="20" t="n">
        <x:f>0.75*S6</x:f>
        <x:v>0</x:v>
      </x:c>
      <x:c r="Y6" s="20" t="n">
        <x:f>IF(E6="S",W6*TAN(RADIANS(X6)),0)</x:f>
        <x:v>0</x:v>
      </x:c>
      <x:c r="Z6" s="20" t="n">
        <x:f>P6*O6</x:f>
        <x:v>0</x:v>
      </x:c>
      <x:c r="AA6" s="20" t="n">
        <x:f>Y6*M6</x:f>
        <x:v>0</x:v>
      </x:c>
      <x:c r="AB6" s="20" t="n">
        <x:f>IF(E6="C",Z6,IF(E6="S",AA6,0))</x:f>
        <x:v>0</x:v>
      </x:c>
      <x:c r="AC6" s="20" t="n">
        <x:f>IF(B6&lt;Pile_Input!$B$8,0,MAX(AB6,0))</x:f>
        <x:v>0</x:v>
      </x:c>
      <x:c r="AD6" s="20" t="n">
        <x:f>Pile_Input!$B$7*I6</x:f>
        <x:v>0</x:v>
      </x:c>
      <x:c r="AE6" s="20" t="n">
        <x:f>AC6*AD6</x:f>
        <x:v>0</x:v>
      </x:c>
      <x:c r="AF6" s="20" t="n">
        <x:f>SUM($AE$2:AE6)</x:f>
        <x:v>2.417753626718237</x:v>
      </x:c>
      <x:c r="AG6" s="20" t="n">
        <x:f>IF(E6="S",EXP(PI()*TAN(RADIANS(S6)))*TAN(RADIANS(45+S6/2))^2*(1+TAN(RADIANS(S6))),0)</x:f>
        <x:v>0</x:v>
      </x:c>
      <x:c r="AH6" s="20" t="n">
        <x:f>IF(E6="S",0.6934*EXP(0.0974*S6),0)</x:f>
        <x:v>0</x:v>
      </x:c>
      <x:c r="AI6" s="20" t="n">
        <x:f>IF(Pile_Input!$B$5&gt;1.5,AG6,AH6)</x:f>
        <x:v>0</x:v>
      </x:c>
      <x:c r="AJ6" s="20" t="n">
        <x:f>IF(E6="S",2*(AI6+1)*TAN(RADIANS(S6)),0)</x:f>
        <x:v>0</x:v>
      </x:c>
      <x:c r="AK6" s="20" t="n">
        <x:f>MIN(9*O6,Pile_Input!$B$12)</x:f>
        <x:v>0</x:v>
      </x:c>
      <x:c r="AL6" s="20" t="n">
        <x:f>MIN((AI6-1)*L6,Pile_Input!$B$12)</x:f>
        <x:v>0</x:v>
      </x:c>
      <x:c r="AM6" s="20" t="n">
        <x:f>IF(E6="C",AK6,IF(E6="S",AL6,0))</x:f>
        <x:v>0</x:v>
      </x:c>
      <x:c r="AN6" s="20" t="e">
        <x:f>AVERAGE(INDEX($AM:$AM,MAX(2,ROW()-1)):INDEX($AM:$AM,MIN(101,ROW()+2)))</x:f>
      </x:c>
      <x:c r="AO6" s="20" t="e">
        <x:f>AN6*Pile_Input!$B$7</x:f>
      </x:c>
      <x:c r="AP6" s="20" t="e">
        <x:f>AF6+AO6</x:f>
      </x:c>
      <x:c r="AQ6" s="20" t="e">
        <x:f>AP6/Pile_Input!$B$11</x:f>
      </x:c>
      <x:c r="AR6" s="20" t="n">
        <x:f>0.25*Pile_Input!$B$4*10</x:f>
        <x:v>875</x:v>
      </x:c>
      <x:c r="AS6" s="20" t="n">
        <x:f>Pile_Input!$B$7*AR6</x:f>
        <x:v>1649.3361431346414</x:v>
      </x:c>
    </x:row>
    <x:row r="7">
      <x:c r="A7" s="20" t="n">
        <x:f>Layer_Input!A7</x:f>
        <x:v>0</x:v>
      </x:c>
      <x:c r="B7" s="20" t="n">
        <x:f>Layer_Input!B7</x:f>
        <x:v>0</x:v>
      </x:c>
      <x:c r="C7" s="20" t="n">
        <x:f>Layer_Input!C7</x:f>
        <x:v>0</x:v>
      </x:c>
      <x:c r="D7" s="20" t="n">
        <x:f>Layer_Input!D7</x:f>
        <x:v>0</x:v>
      </x:c>
      <x:c r="E7" s="20" t="n">
        <x:f>Layer_Input!E7</x:f>
        <x:v>0</x:v>
      </x:c>
      <x:c r="F7" s="20" t="n">
        <x:f>Layer_Input!F7</x:f>
        <x:v>0</x:v>
      </x:c>
      <x:c r="G7" s="20" t="n">
        <x:f>Layer_Input!G7</x:f>
        <x:v>0</x:v>
      </x:c>
      <x:c r="H7" s="20" t="n">
        <x:f>Layer_Input!H7</x:f>
        <x:v>0</x:v>
      </x:c>
      <x:c r="I7" s="20" t="n">
        <x:f>MAX(C7-B7,0)</x:f>
        <x:v>0</x:v>
      </x:c>
      <x:c r="J7" s="20" t="n">
        <x:f>MAX(IF(B7&lt;Pile_Input!$B$9,D7,D7-Pile_Input!$B$10),0)</x:f>
        <x:v>0</x:v>
      </x:c>
      <x:c r="K7" s="20" t="n">
        <x:f>J7*I7</x:f>
        <x:v>0</x:v>
      </x:c>
      <x:c r="L7" s="20" t="str">
        <x:f>IF(B7="","",SUM($K$2:K7))</x:f>
      </x:c>
      <x:c r="M7" s="20" t="str">
        <x:f>IF(B7="","",L7-K7/2)</x:f>
      </x:c>
      <x:c r="N7" s="20" t="n">
        <x:f>IF(ISNUMBER(H7),0.52*H7,"")</x:f>
        <x:v>0</x:v>
      </x:c>
      <x:c r="O7" s="20" t="n">
        <x:f>IF(E7="C",AVERAGE(G7,N7),0)</x:f>
        <x:v>0</x:v>
      </x:c>
      <x:c r="P7" s="20" t="n">
        <x:f>IF(E7="C",0.93*EXP(-0.0536*O7),0)</x:f>
        <x:v>0</x:v>
      </x:c>
      <x:c r="Q7" s="20" t="n">
        <x:f>IF(E7="S",0.77*LOG10(20*95.76/MAX(M7*9.81,0.0001)),0)</x:f>
        <x:v>0</x:v>
      </x:c>
      <x:c r="R7" s="20" t="n">
        <x:f>Q7*H7</x:f>
        <x:v>0</x:v>
      </x:c>
      <x:c r="S7" s="20" t="n">
        <x:f>IF(E7="S",27.1+0.3*R7-0.00054*R7^2,0)</x:f>
        <x:v>0</x:v>
      </x:c>
      <x:c r="T7" s="20" t="n">
        <x:f>IF(E7="S",1-SIN(RADIANS(S7)),0)</x:f>
        <x:v>0</x:v>
      </x:c>
      <x:c r="U7" s="20" t="n">
        <x:f>1.5*T7</x:f>
        <x:v>0</x:v>
      </x:c>
      <x:c r="V7" s="20" t="n">
        <x:f>0.85*T7</x:f>
        <x:v>0</x:v>
      </x:c>
      <x:c r="W7" s="20" t="n">
        <x:f>IF(Pile_Input!$B$5&gt;1.5,U7,V7)</x:f>
        <x:v>0</x:v>
      </x:c>
      <x:c r="X7" s="20" t="n">
        <x:f>0.75*S7</x:f>
        <x:v>0</x:v>
      </x:c>
      <x:c r="Y7" s="20" t="n">
        <x:f>IF(E7="S",W7*TAN(RADIANS(X7)),0)</x:f>
        <x:v>0</x:v>
      </x:c>
      <x:c r="Z7" s="20" t="n">
        <x:f>P7*O7</x:f>
        <x:v>0</x:v>
      </x:c>
      <x:c r="AA7" s="20" t="n">
        <x:f>Y7*M7</x:f>
        <x:v>0</x:v>
      </x:c>
      <x:c r="AB7" s="20" t="n">
        <x:f>IF(E7="C",Z7,IF(E7="S",AA7,0))</x:f>
        <x:v>0</x:v>
      </x:c>
      <x:c r="AC7" s="20" t="n">
        <x:f>IF(B7&lt;Pile_Input!$B$8,0,MAX(AB7,0))</x:f>
        <x:v>0</x:v>
      </x:c>
      <x:c r="AD7" s="20" t="n">
        <x:f>Pile_Input!$B$7*I7</x:f>
        <x:v>0</x:v>
      </x:c>
      <x:c r="AE7" s="20" t="n">
        <x:f>AC7*AD7</x:f>
        <x:v>0</x:v>
      </x:c>
      <x:c r="AF7" s="20" t="n">
        <x:f>SUM($AE$2:AE7)</x:f>
        <x:v>2.417753626718237</x:v>
      </x:c>
      <x:c r="AG7" s="20" t="n">
        <x:f>IF(E7="S",EXP(PI()*TAN(RADIANS(S7)))*TAN(RADIANS(45+S7/2))^2*(1+TAN(RADIANS(S7))),0)</x:f>
        <x:v>0</x:v>
      </x:c>
      <x:c r="AH7" s="20" t="n">
        <x:f>IF(E7="S",0.6934*EXP(0.0974*S7),0)</x:f>
        <x:v>0</x:v>
      </x:c>
      <x:c r="AI7" s="20" t="n">
        <x:f>IF(Pile_Input!$B$5&gt;1.5,AG7,AH7)</x:f>
        <x:v>0</x:v>
      </x:c>
      <x:c r="AJ7" s="20" t="n">
        <x:f>IF(E7="S",2*(AI7+1)*TAN(RADIANS(S7)),0)</x:f>
        <x:v>0</x:v>
      </x:c>
      <x:c r="AK7" s="20" t="n">
        <x:f>MIN(9*O7,Pile_Input!$B$12)</x:f>
        <x:v>0</x:v>
      </x:c>
      <x:c r="AL7" s="20" t="n">
        <x:f>MIN((AI7-1)*L7,Pile_Input!$B$12)</x:f>
        <x:v>0</x:v>
      </x:c>
      <x:c r="AM7" s="20" t="n">
        <x:f>IF(E7="C",AK7,IF(E7="S",AL7,0))</x:f>
        <x:v>0</x:v>
      </x:c>
      <x:c r="AN7" s="20" t="e">
        <x:f>AVERAGE(INDEX($AM:$AM,MAX(2,ROW()-1)):INDEX($AM:$AM,MIN(101,ROW()+2)))</x:f>
      </x:c>
      <x:c r="AO7" s="20" t="e">
        <x:f>AN7*Pile_Input!$B$7</x:f>
      </x:c>
      <x:c r="AP7" s="20" t="e">
        <x:f>AF7+AO7</x:f>
      </x:c>
      <x:c r="AQ7" s="20" t="e">
        <x:f>AP7/Pile_Input!$B$11</x:f>
      </x:c>
      <x:c r="AR7" s="20" t="n">
        <x:f>0.25*Pile_Input!$B$4*10</x:f>
        <x:v>875</x:v>
      </x:c>
      <x:c r="AS7" s="20" t="n">
        <x:f>Pile_Input!$B$7*AR7</x:f>
        <x:v>1649.3361431346414</x:v>
      </x:c>
    </x:row>
    <x:row r="8">
      <x:c r="A8" s="20" t="n">
        <x:f>Layer_Input!A8</x:f>
        <x:v>0</x:v>
      </x:c>
      <x:c r="B8" s="20" t="n">
        <x:f>Layer_Input!B8</x:f>
        <x:v>0</x:v>
      </x:c>
      <x:c r="C8" s="20" t="n">
        <x:f>Layer_Input!C8</x:f>
        <x:v>0</x:v>
      </x:c>
      <x:c r="D8" s="20" t="n">
        <x:f>Layer_Input!D8</x:f>
        <x:v>0</x:v>
      </x:c>
      <x:c r="E8" s="20" t="n">
        <x:f>Layer_Input!E8</x:f>
        <x:v>0</x:v>
      </x:c>
      <x:c r="F8" s="20" t="n">
        <x:f>Layer_Input!F8</x:f>
        <x:v>0</x:v>
      </x:c>
      <x:c r="G8" s="20" t="n">
        <x:f>Layer_Input!G8</x:f>
        <x:v>0</x:v>
      </x:c>
      <x:c r="H8" s="20" t="n">
        <x:f>Layer_Input!H8</x:f>
        <x:v>0</x:v>
      </x:c>
      <x:c r="I8" s="20" t="n">
        <x:f>MAX(C8-B8,0)</x:f>
        <x:v>0</x:v>
      </x:c>
      <x:c r="J8" s="20" t="n">
        <x:f>MAX(IF(B8&lt;Pile_Input!$B$9,D8,D8-Pile_Input!$B$10),0)</x:f>
        <x:v>0</x:v>
      </x:c>
      <x:c r="K8" s="20" t="n">
        <x:f>J8*I8</x:f>
        <x:v>0</x:v>
      </x:c>
      <x:c r="L8" s="20" t="str">
        <x:f>IF(B8="","",SUM($K$2:K8))</x:f>
      </x:c>
      <x:c r="M8" s="20" t="str">
        <x:f>IF(B8="","",L8-K8/2)</x:f>
      </x:c>
      <x:c r="N8" s="20" t="n">
        <x:f>IF(ISNUMBER(H8),0.52*H8,"")</x:f>
        <x:v>0</x:v>
      </x:c>
      <x:c r="O8" s="20" t="n">
        <x:f>IF(E8="C",AVERAGE(G8,N8),0)</x:f>
        <x:v>0</x:v>
      </x:c>
      <x:c r="P8" s="20" t="n">
        <x:f>IF(E8="C",0.93*EXP(-0.0536*O8),0)</x:f>
        <x:v>0</x:v>
      </x:c>
      <x:c r="Q8" s="20" t="n">
        <x:f>IF(E8="S",0.77*LOG10(20*95.76/MAX(M8*9.81,0.0001)),0)</x:f>
        <x:v>0</x:v>
      </x:c>
      <x:c r="R8" s="20" t="n">
        <x:f>Q8*H8</x:f>
        <x:v>0</x:v>
      </x:c>
      <x:c r="S8" s="20" t="n">
        <x:f>IF(E8="S",27.1+0.3*R8-0.00054*R8^2,0)</x:f>
        <x:v>0</x:v>
      </x:c>
      <x:c r="T8" s="20" t="n">
        <x:f>IF(E8="S",1-SIN(RADIANS(S8)),0)</x:f>
        <x:v>0</x:v>
      </x:c>
      <x:c r="U8" s="20" t="n">
        <x:f>1.5*T8</x:f>
        <x:v>0</x:v>
      </x:c>
      <x:c r="V8" s="20" t="n">
        <x:f>0.85*T8</x:f>
        <x:v>0</x:v>
      </x:c>
      <x:c r="W8" s="20" t="n">
        <x:f>IF(Pile_Input!$B$5&gt;1.5,U8,V8)</x:f>
        <x:v>0</x:v>
      </x:c>
      <x:c r="X8" s="20" t="n">
        <x:f>0.75*S8</x:f>
        <x:v>0</x:v>
      </x:c>
      <x:c r="Y8" s="20" t="n">
        <x:f>IF(E8="S",W8*TAN(RADIANS(X8)),0)</x:f>
        <x:v>0</x:v>
      </x:c>
      <x:c r="Z8" s="20" t="n">
        <x:f>P8*O8</x:f>
        <x:v>0</x:v>
      </x:c>
      <x:c r="AA8" s="20" t="n">
        <x:f>Y8*M8</x:f>
        <x:v>0</x:v>
      </x:c>
      <x:c r="AB8" s="20" t="n">
        <x:f>IF(E8="C",Z8,IF(E8="S",AA8,0))</x:f>
        <x:v>0</x:v>
      </x:c>
      <x:c r="AC8" s="20" t="n">
        <x:f>IF(B8&lt;Pile_Input!$B$8,0,MAX(AB8,0))</x:f>
        <x:v>0</x:v>
      </x:c>
      <x:c r="AD8" s="20" t="n">
        <x:f>Pile_Input!$B$7*I8</x:f>
        <x:v>0</x:v>
      </x:c>
      <x:c r="AE8" s="20" t="n">
        <x:f>AC8*AD8</x:f>
        <x:v>0</x:v>
      </x:c>
      <x:c r="AF8" s="20" t="n">
        <x:f>SUM($AE$2:AE8)</x:f>
        <x:v>2.417753626718237</x:v>
      </x:c>
      <x:c r="AG8" s="20" t="n">
        <x:f>IF(E8="S",EXP(PI()*TAN(RADIANS(S8)))*TAN(RADIANS(45+S8/2))^2*(1+TAN(RADIANS(S8))),0)</x:f>
        <x:v>0</x:v>
      </x:c>
      <x:c r="AH8" s="20" t="n">
        <x:f>IF(E8="S",0.6934*EXP(0.0974*S8),0)</x:f>
        <x:v>0</x:v>
      </x:c>
      <x:c r="AI8" s="20" t="n">
        <x:f>IF(Pile_Input!$B$5&gt;1.5,AG8,AH8)</x:f>
        <x:v>0</x:v>
      </x:c>
      <x:c r="AJ8" s="20" t="n">
        <x:f>IF(E8="S",2*(AI8+1)*TAN(RADIANS(S8)),0)</x:f>
        <x:v>0</x:v>
      </x:c>
      <x:c r="AK8" s="20" t="n">
        <x:f>MIN(9*O8,Pile_Input!$B$12)</x:f>
        <x:v>0</x:v>
      </x:c>
      <x:c r="AL8" s="20" t="n">
        <x:f>MIN((AI8-1)*L8,Pile_Input!$B$12)</x:f>
        <x:v>0</x:v>
      </x:c>
      <x:c r="AM8" s="20" t="n">
        <x:f>IF(E8="C",AK8,IF(E8="S",AL8,0))</x:f>
        <x:v>0</x:v>
      </x:c>
      <x:c r="AN8" s="20" t="e">
        <x:f>AVERAGE(INDEX($AM:$AM,MAX(2,ROW()-1)):INDEX($AM:$AM,MIN(101,ROW()+2)))</x:f>
      </x:c>
      <x:c r="AO8" s="20" t="e">
        <x:f>AN8*Pile_Input!$B$7</x:f>
      </x:c>
      <x:c r="AP8" s="20" t="e">
        <x:f>AF8+AO8</x:f>
      </x:c>
      <x:c r="AQ8" s="20" t="e">
        <x:f>AP8/Pile_Input!$B$11</x:f>
      </x:c>
      <x:c r="AR8" s="20" t="n">
        <x:f>0.25*Pile_Input!$B$4*10</x:f>
        <x:v>875</x:v>
      </x:c>
      <x:c r="AS8" s="20" t="n">
        <x:f>Pile_Input!$B$7*AR8</x:f>
        <x:v>1649.3361431346414</x:v>
      </x:c>
    </x:row>
    <x:row r="9">
      <x:c r="A9" s="20" t="n">
        <x:f>Layer_Input!A9</x:f>
        <x:v>0</x:v>
      </x:c>
      <x:c r="B9" s="20" t="n">
        <x:f>Layer_Input!B9</x:f>
        <x:v>0</x:v>
      </x:c>
      <x:c r="C9" s="20" t="n">
        <x:f>Layer_Input!C9</x:f>
        <x:v>0</x:v>
      </x:c>
      <x:c r="D9" s="20" t="n">
        <x:f>Layer_Input!D9</x:f>
        <x:v>0</x:v>
      </x:c>
      <x:c r="E9" s="20" t="n">
        <x:f>Layer_Input!E9</x:f>
        <x:v>0</x:v>
      </x:c>
      <x:c r="F9" s="20" t="n">
        <x:f>Layer_Input!F9</x:f>
        <x:v>0</x:v>
      </x:c>
      <x:c r="G9" s="20" t="n">
        <x:f>Layer_Input!G9</x:f>
        <x:v>0</x:v>
      </x:c>
      <x:c r="H9" s="20" t="n">
        <x:f>Layer_Input!H9</x:f>
        <x:v>0</x:v>
      </x:c>
      <x:c r="I9" s="20" t="n">
        <x:f>MAX(C9-B9,0)</x:f>
        <x:v>0</x:v>
      </x:c>
      <x:c r="J9" s="20" t="n">
        <x:f>MAX(IF(B9&lt;Pile_Input!$B$9,D9,D9-Pile_Input!$B$10),0)</x:f>
        <x:v>0</x:v>
      </x:c>
      <x:c r="K9" s="20" t="n">
        <x:f>J9*I9</x:f>
        <x:v>0</x:v>
      </x:c>
      <x:c r="L9" s="20" t="str">
        <x:f>IF(B9="","",SUM($K$2:K9))</x:f>
      </x:c>
      <x:c r="M9" s="20" t="str">
        <x:f>IF(B9="","",L9-K9/2)</x:f>
      </x:c>
      <x:c r="N9" s="20" t="n">
        <x:f>IF(ISNUMBER(H9),0.52*H9,"")</x:f>
        <x:v>0</x:v>
      </x:c>
      <x:c r="O9" s="20" t="n">
        <x:f>IF(E9="C",AVERAGE(G9,N9),0)</x:f>
        <x:v>0</x:v>
      </x:c>
      <x:c r="P9" s="20" t="n">
        <x:f>IF(E9="C",0.93*EXP(-0.0536*O9),0)</x:f>
        <x:v>0</x:v>
      </x:c>
      <x:c r="Q9" s="20" t="n">
        <x:f>IF(E9="S",0.77*LOG10(20*95.76/MAX(M9*9.81,0.0001)),0)</x:f>
        <x:v>0</x:v>
      </x:c>
      <x:c r="R9" s="20" t="n">
        <x:f>Q9*H9</x:f>
        <x:v>0</x:v>
      </x:c>
      <x:c r="S9" s="20" t="n">
        <x:f>IF(E9="S",27.1+0.3*R9-0.00054*R9^2,0)</x:f>
        <x:v>0</x:v>
      </x:c>
      <x:c r="T9" s="20" t="n">
        <x:f>IF(E9="S",1-SIN(RADIANS(S9)),0)</x:f>
        <x:v>0</x:v>
      </x:c>
      <x:c r="U9" s="20" t="n">
        <x:f>1.5*T9</x:f>
        <x:v>0</x:v>
      </x:c>
      <x:c r="V9" s="20" t="n">
        <x:f>0.85*T9</x:f>
        <x:v>0</x:v>
      </x:c>
      <x:c r="W9" s="20" t="n">
        <x:f>IF(Pile_Input!$B$5&gt;1.5,U9,V9)</x:f>
        <x:v>0</x:v>
      </x:c>
      <x:c r="X9" s="20" t="n">
        <x:f>0.75*S9</x:f>
        <x:v>0</x:v>
      </x:c>
      <x:c r="Y9" s="20" t="n">
        <x:f>IF(E9="S",W9*TAN(RADIANS(X9)),0)</x:f>
        <x:v>0</x:v>
      </x:c>
      <x:c r="Z9" s="20" t="n">
        <x:f>P9*O9</x:f>
        <x:v>0</x:v>
      </x:c>
      <x:c r="AA9" s="20" t="n">
        <x:f>Y9*M9</x:f>
        <x:v>0</x:v>
      </x:c>
      <x:c r="AB9" s="20" t="n">
        <x:f>IF(E9="C",Z9,IF(E9="S",AA9,0))</x:f>
        <x:v>0</x:v>
      </x:c>
      <x:c r="AC9" s="20" t="n">
        <x:f>IF(B9&lt;Pile_Input!$B$8,0,MAX(AB9,0))</x:f>
        <x:v>0</x:v>
      </x:c>
      <x:c r="AD9" s="20" t="n">
        <x:f>Pile_Input!$B$7*I9</x:f>
        <x:v>0</x:v>
      </x:c>
      <x:c r="AE9" s="20" t="n">
        <x:f>AC9*AD9</x:f>
        <x:v>0</x:v>
      </x:c>
      <x:c r="AF9" s="20" t="n">
        <x:f>SUM($AE$2:AE9)</x:f>
        <x:v>2.417753626718237</x:v>
      </x:c>
      <x:c r="AG9" s="20" t="n">
        <x:f>IF(E9="S",EXP(PI()*TAN(RADIANS(S9)))*TAN(RADIANS(45+S9/2))^2*(1+TAN(RADIANS(S9))),0)</x:f>
        <x:v>0</x:v>
      </x:c>
      <x:c r="AH9" s="20" t="n">
        <x:f>IF(E9="S",0.6934*EXP(0.0974*S9),0)</x:f>
        <x:v>0</x:v>
      </x:c>
      <x:c r="AI9" s="20" t="n">
        <x:f>IF(Pile_Input!$B$5&gt;1.5,AG9,AH9)</x:f>
        <x:v>0</x:v>
      </x:c>
      <x:c r="AJ9" s="20" t="n">
        <x:f>IF(E9="S",2*(AI9+1)*TAN(RADIANS(S9)),0)</x:f>
        <x:v>0</x:v>
      </x:c>
      <x:c r="AK9" s="20" t="n">
        <x:f>MIN(9*O9,Pile_Input!$B$12)</x:f>
        <x:v>0</x:v>
      </x:c>
      <x:c r="AL9" s="20" t="n">
        <x:f>MIN((AI9-1)*L9,Pile_Input!$B$12)</x:f>
        <x:v>0</x:v>
      </x:c>
      <x:c r="AM9" s="20" t="n">
        <x:f>IF(E9="C",AK9,IF(E9="S",AL9,0))</x:f>
        <x:v>0</x:v>
      </x:c>
      <x:c r="AN9" s="20" t="e">
        <x:f>AVERAGE(INDEX($AM:$AM,MAX(2,ROW()-1)):INDEX($AM:$AM,MIN(101,ROW()+2)))</x:f>
      </x:c>
      <x:c r="AO9" s="20" t="e">
        <x:f>AN9*Pile_Input!$B$7</x:f>
      </x:c>
      <x:c r="AP9" s="20" t="e">
        <x:f>AF9+AO9</x:f>
      </x:c>
      <x:c r="AQ9" s="20" t="e">
        <x:f>AP9/Pile_Input!$B$11</x:f>
      </x:c>
      <x:c r="AR9" s="20" t="n">
        <x:f>0.25*Pile_Input!$B$4*10</x:f>
        <x:v>875</x:v>
      </x:c>
      <x:c r="AS9" s="20" t="n">
        <x:f>Pile_Input!$B$7*AR9</x:f>
        <x:v>1649.3361431346414</x:v>
      </x:c>
    </x:row>
    <x:row r="10">
      <x:c r="A10" s="20" t="n">
        <x:f>Layer_Input!A10</x:f>
        <x:v>0</x:v>
      </x:c>
      <x:c r="B10" s="20" t="n">
        <x:f>Layer_Input!B10</x:f>
        <x:v>0</x:v>
      </x:c>
      <x:c r="C10" s="20" t="n">
        <x:f>Layer_Input!C10</x:f>
        <x:v>0</x:v>
      </x:c>
      <x:c r="D10" s="20" t="n">
        <x:f>Layer_Input!D10</x:f>
        <x:v>0</x:v>
      </x:c>
      <x:c r="E10" s="20" t="n">
        <x:f>Layer_Input!E10</x:f>
        <x:v>0</x:v>
      </x:c>
      <x:c r="F10" s="20" t="n">
        <x:f>Layer_Input!F10</x:f>
        <x:v>0</x:v>
      </x:c>
      <x:c r="G10" s="20" t="n">
        <x:f>Layer_Input!G10</x:f>
        <x:v>0</x:v>
      </x:c>
      <x:c r="H10" s="20" t="n">
        <x:f>Layer_Input!H10</x:f>
        <x:v>0</x:v>
      </x:c>
      <x:c r="I10" s="20" t="n">
        <x:f>MAX(C10-B10,0)</x:f>
        <x:v>0</x:v>
      </x:c>
      <x:c r="J10" s="20" t="n">
        <x:f>MAX(IF(B10&lt;Pile_Input!$B$9,D10,D10-Pile_Input!$B$10),0)</x:f>
        <x:v>0</x:v>
      </x:c>
      <x:c r="K10" s="20" t="n">
        <x:f>J10*I10</x:f>
        <x:v>0</x:v>
      </x:c>
      <x:c r="L10" s="20" t="str">
        <x:f>IF(B10="","",SUM($K$2:K10))</x:f>
      </x:c>
      <x:c r="M10" s="20" t="str">
        <x:f>IF(B10="","",L10-K10/2)</x:f>
      </x:c>
      <x:c r="N10" s="20" t="n">
        <x:f>IF(ISNUMBER(H10),0.52*H10,"")</x:f>
        <x:v>0</x:v>
      </x:c>
      <x:c r="O10" s="20" t="n">
        <x:f>IF(E10="C",AVERAGE(G10,N10),0)</x:f>
        <x:v>0</x:v>
      </x:c>
      <x:c r="P10" s="20" t="n">
        <x:f>IF(E10="C",0.93*EXP(-0.0536*O10),0)</x:f>
        <x:v>0</x:v>
      </x:c>
      <x:c r="Q10" s="20" t="n">
        <x:f>IF(E10="S",0.77*LOG10(20*95.76/MAX(M10*9.81,0.0001)),0)</x:f>
        <x:v>0</x:v>
      </x:c>
      <x:c r="R10" s="20" t="n">
        <x:f>Q10*H10</x:f>
        <x:v>0</x:v>
      </x:c>
      <x:c r="S10" s="20" t="n">
        <x:f>IF(E10="S",27.1+0.3*R10-0.00054*R10^2,0)</x:f>
        <x:v>0</x:v>
      </x:c>
      <x:c r="T10" s="20" t="n">
        <x:f>IF(E10="S",1-SIN(RADIANS(S10)),0)</x:f>
        <x:v>0</x:v>
      </x:c>
      <x:c r="U10" s="20" t="n">
        <x:f>1.5*T10</x:f>
        <x:v>0</x:v>
      </x:c>
      <x:c r="V10" s="20" t="n">
        <x:f>0.85*T10</x:f>
        <x:v>0</x:v>
      </x:c>
      <x:c r="W10" s="20" t="n">
        <x:f>IF(Pile_Input!$B$5&gt;1.5,U10,V10)</x:f>
        <x:v>0</x:v>
      </x:c>
      <x:c r="X10" s="20" t="n">
        <x:f>0.75*S10</x:f>
        <x:v>0</x:v>
      </x:c>
      <x:c r="Y10" s="20" t="n">
        <x:f>IF(E10="S",W10*TAN(RADIANS(X10)),0)</x:f>
        <x:v>0</x:v>
      </x:c>
      <x:c r="Z10" s="20" t="n">
        <x:f>P10*O10</x:f>
        <x:v>0</x:v>
      </x:c>
      <x:c r="AA10" s="20" t="n">
        <x:f>Y10*M10</x:f>
        <x:v>0</x:v>
      </x:c>
      <x:c r="AB10" s="20" t="n">
        <x:f>IF(E10="C",Z10,IF(E10="S",AA10,0))</x:f>
        <x:v>0</x:v>
      </x:c>
      <x:c r="AC10" s="20" t="n">
        <x:f>IF(B10&lt;Pile_Input!$B$8,0,MAX(AB10,0))</x:f>
        <x:v>0</x:v>
      </x:c>
      <x:c r="AD10" s="20" t="n">
        <x:f>Pile_Input!$B$7*I10</x:f>
        <x:v>0</x:v>
      </x:c>
      <x:c r="AE10" s="20" t="n">
        <x:f>AC10*AD10</x:f>
        <x:v>0</x:v>
      </x:c>
      <x:c r="AF10" s="20" t="n">
        <x:f>SUM($AE$2:AE10)</x:f>
        <x:v>2.417753626718237</x:v>
      </x:c>
      <x:c r="AG10" s="20" t="n">
        <x:f>IF(E10="S",EXP(PI()*TAN(RADIANS(S10)))*TAN(RADIANS(45+S10/2))^2*(1+TAN(RADIANS(S10))),0)</x:f>
        <x:v>0</x:v>
      </x:c>
      <x:c r="AH10" s="20" t="n">
        <x:f>IF(E10="S",0.6934*EXP(0.0974*S10),0)</x:f>
        <x:v>0</x:v>
      </x:c>
      <x:c r="AI10" s="20" t="n">
        <x:f>IF(Pile_Input!$B$5&gt;1.5,AG10,AH10)</x:f>
        <x:v>0</x:v>
      </x:c>
      <x:c r="AJ10" s="20" t="n">
        <x:f>IF(E10="S",2*(AI10+1)*TAN(RADIANS(S10)),0)</x:f>
        <x:v>0</x:v>
      </x:c>
      <x:c r="AK10" s="20" t="n">
        <x:f>MIN(9*O10,Pile_Input!$B$12)</x:f>
        <x:v>0</x:v>
      </x:c>
      <x:c r="AL10" s="20" t="n">
        <x:f>MIN((AI10-1)*L10,Pile_Input!$B$12)</x:f>
        <x:v>0</x:v>
      </x:c>
      <x:c r="AM10" s="20" t="n">
        <x:f>IF(E10="C",AK10,IF(E10="S",AL10,0))</x:f>
        <x:v>0</x:v>
      </x:c>
      <x:c r="AN10" s="20" t="e">
        <x:f>AVERAGE(INDEX($AM:$AM,MAX(2,ROW()-1)):INDEX($AM:$AM,MIN(101,ROW()+2)))</x:f>
      </x:c>
      <x:c r="AO10" s="20" t="e">
        <x:f>AN10*Pile_Input!$B$7</x:f>
      </x:c>
      <x:c r="AP10" s="20" t="e">
        <x:f>AF10+AO10</x:f>
      </x:c>
      <x:c r="AQ10" s="20" t="e">
        <x:f>AP10/Pile_Input!$B$11</x:f>
      </x:c>
      <x:c r="AR10" s="20" t="n">
        <x:f>0.25*Pile_Input!$B$4*10</x:f>
        <x:v>875</x:v>
      </x:c>
      <x:c r="AS10" s="20" t="n">
        <x:f>Pile_Input!$B$7*AR10</x:f>
        <x:v>1649.3361431346414</x:v>
      </x:c>
    </x:row>
    <x:row r="11">
      <x:c r="A11" s="20" t="n">
        <x:f>Layer_Input!A11</x:f>
        <x:v>0</x:v>
      </x:c>
      <x:c r="B11" s="20" t="n">
        <x:f>Layer_Input!B11</x:f>
        <x:v>0</x:v>
      </x:c>
      <x:c r="C11" s="20" t="n">
        <x:f>Layer_Input!C11</x:f>
        <x:v>0</x:v>
      </x:c>
      <x:c r="D11" s="20" t="n">
        <x:f>Layer_Input!D11</x:f>
        <x:v>0</x:v>
      </x:c>
      <x:c r="E11" s="20" t="n">
        <x:f>Layer_Input!E11</x:f>
        <x:v>0</x:v>
      </x:c>
      <x:c r="F11" s="20" t="n">
        <x:f>Layer_Input!F11</x:f>
        <x:v>0</x:v>
      </x:c>
      <x:c r="G11" s="20" t="n">
        <x:f>Layer_Input!G11</x:f>
        <x:v>0</x:v>
      </x:c>
      <x:c r="H11" s="20" t="n">
        <x:f>Layer_Input!H11</x:f>
        <x:v>0</x:v>
      </x:c>
      <x:c r="I11" s="20" t="n">
        <x:f>MAX(C11-B11,0)</x:f>
        <x:v>0</x:v>
      </x:c>
      <x:c r="J11" s="20" t="n">
        <x:f>MAX(IF(B11&lt;Pile_Input!$B$9,D11,D11-Pile_Input!$B$10),0)</x:f>
        <x:v>0</x:v>
      </x:c>
      <x:c r="K11" s="20" t="n">
        <x:f>J11*I11</x:f>
        <x:v>0</x:v>
      </x:c>
      <x:c r="L11" s="20" t="str">
        <x:f>IF(B11="","",SUM($K$2:K11))</x:f>
      </x:c>
      <x:c r="M11" s="20" t="str">
        <x:f>IF(B11="","",L11-K11/2)</x:f>
      </x:c>
      <x:c r="N11" s="20" t="n">
        <x:f>IF(ISNUMBER(H11),0.52*H11,"")</x:f>
        <x:v>0</x:v>
      </x:c>
      <x:c r="O11" s="20" t="n">
        <x:f>IF(E11="C",AVERAGE(G11,N11),0)</x:f>
        <x:v>0</x:v>
      </x:c>
      <x:c r="P11" s="20" t="n">
        <x:f>IF(E11="C",0.93*EXP(-0.0536*O11),0)</x:f>
        <x:v>0</x:v>
      </x:c>
      <x:c r="Q11" s="20" t="n">
        <x:f>IF(E11="S",0.77*LOG10(20*95.76/MAX(M11*9.81,0.0001)),0)</x:f>
        <x:v>0</x:v>
      </x:c>
      <x:c r="R11" s="20" t="n">
        <x:f>Q11*H11</x:f>
        <x:v>0</x:v>
      </x:c>
      <x:c r="S11" s="20" t="n">
        <x:f>IF(E11="S",27.1+0.3*R11-0.00054*R11^2,0)</x:f>
        <x:v>0</x:v>
      </x:c>
      <x:c r="T11" s="20" t="n">
        <x:f>IF(E11="S",1-SIN(RADIANS(S11)),0)</x:f>
        <x:v>0</x:v>
      </x:c>
      <x:c r="U11" s="20" t="n">
        <x:f>1.5*T11</x:f>
        <x:v>0</x:v>
      </x:c>
      <x:c r="V11" s="20" t="n">
        <x:f>0.85*T11</x:f>
        <x:v>0</x:v>
      </x:c>
      <x:c r="W11" s="20" t="n">
        <x:f>IF(Pile_Input!$B$5&gt;1.5,U11,V11)</x:f>
        <x:v>0</x:v>
      </x:c>
      <x:c r="X11" s="20" t="n">
        <x:f>0.75*S11</x:f>
        <x:v>0</x:v>
      </x:c>
      <x:c r="Y11" s="20" t="n">
        <x:f>IF(E11="S",W11*TAN(RADIANS(X11)),0)</x:f>
        <x:v>0</x:v>
      </x:c>
      <x:c r="Z11" s="20" t="n">
        <x:f>P11*O11</x:f>
        <x:v>0</x:v>
      </x:c>
      <x:c r="AA11" s="20" t="n">
        <x:f>Y11*M11</x:f>
        <x:v>0</x:v>
      </x:c>
      <x:c r="AB11" s="20" t="n">
        <x:f>IF(E11="C",Z11,IF(E11="S",AA11,0))</x:f>
        <x:v>0</x:v>
      </x:c>
      <x:c r="AC11" s="20" t="n">
        <x:f>IF(B11&lt;Pile_Input!$B$8,0,MAX(AB11,0))</x:f>
        <x:v>0</x:v>
      </x:c>
      <x:c r="AD11" s="20" t="n">
        <x:f>Pile_Input!$B$7*I11</x:f>
        <x:v>0</x:v>
      </x:c>
      <x:c r="AE11" s="20" t="n">
        <x:f>AC11*AD11</x:f>
        <x:v>0</x:v>
      </x:c>
      <x:c r="AF11" s="20" t="n">
        <x:f>SUM($AE$2:AE11)</x:f>
        <x:v>2.417753626718237</x:v>
      </x:c>
      <x:c r="AG11" s="20" t="n">
        <x:f>IF(E11="S",EXP(PI()*TAN(RADIANS(S11)))*TAN(RADIANS(45+S11/2))^2*(1+TAN(RADIANS(S11))),0)</x:f>
        <x:v>0</x:v>
      </x:c>
      <x:c r="AH11" s="20" t="n">
        <x:f>IF(E11="S",0.6934*EXP(0.0974*S11),0)</x:f>
        <x:v>0</x:v>
      </x:c>
      <x:c r="AI11" s="20" t="n">
        <x:f>IF(Pile_Input!$B$5&gt;1.5,AG11,AH11)</x:f>
        <x:v>0</x:v>
      </x:c>
      <x:c r="AJ11" s="20" t="n">
        <x:f>IF(E11="S",2*(AI11+1)*TAN(RADIANS(S11)),0)</x:f>
        <x:v>0</x:v>
      </x:c>
      <x:c r="AK11" s="20" t="n">
        <x:f>MIN(9*O11,Pile_Input!$B$12)</x:f>
        <x:v>0</x:v>
      </x:c>
      <x:c r="AL11" s="20" t="n">
        <x:f>MIN((AI11-1)*L11,Pile_Input!$B$12)</x:f>
        <x:v>0</x:v>
      </x:c>
      <x:c r="AM11" s="20" t="n">
        <x:f>IF(E11="C",AK11,IF(E11="S",AL11,0))</x:f>
        <x:v>0</x:v>
      </x:c>
      <x:c r="AN11" s="20" t="e">
        <x:f>AVERAGE(INDEX($AM:$AM,MAX(2,ROW()-1)):INDEX($AM:$AM,MIN(101,ROW()+2)))</x:f>
      </x:c>
      <x:c r="AO11" s="20" t="e">
        <x:f>AN11*Pile_Input!$B$7</x:f>
      </x:c>
      <x:c r="AP11" s="20" t="e">
        <x:f>AF11+AO11</x:f>
      </x:c>
      <x:c r="AQ11" s="20" t="e">
        <x:f>AP11/Pile_Input!$B$11</x:f>
      </x:c>
      <x:c r="AR11" s="20" t="n">
        <x:f>0.25*Pile_Input!$B$4*10</x:f>
        <x:v>875</x:v>
      </x:c>
      <x:c r="AS11" s="20" t="n">
        <x:f>Pile_Input!$B$7*AR11</x:f>
        <x:v>1649.3361431346414</x:v>
      </x:c>
    </x:row>
    <x:row r="12">
      <x:c r="A12" s="20" t="n">
        <x:f>Layer_Input!A12</x:f>
        <x:v>0</x:v>
      </x:c>
      <x:c r="B12" s="20" t="n">
        <x:f>Layer_Input!B12</x:f>
        <x:v>0</x:v>
      </x:c>
      <x:c r="C12" s="20" t="n">
        <x:f>Layer_Input!C12</x:f>
        <x:v>0</x:v>
      </x:c>
      <x:c r="D12" s="20" t="n">
        <x:f>Layer_Input!D12</x:f>
        <x:v>0</x:v>
      </x:c>
      <x:c r="E12" s="20" t="n">
        <x:f>Layer_Input!E12</x:f>
        <x:v>0</x:v>
      </x:c>
      <x:c r="F12" s="20" t="n">
        <x:f>Layer_Input!F12</x:f>
        <x:v>0</x:v>
      </x:c>
      <x:c r="G12" s="20" t="n">
        <x:f>Layer_Input!G12</x:f>
        <x:v>0</x:v>
      </x:c>
      <x:c r="H12" s="20" t="n">
        <x:f>Layer_Input!H12</x:f>
        <x:v>0</x:v>
      </x:c>
      <x:c r="I12" s="20" t="n">
        <x:f>MAX(C12-B12,0)</x:f>
        <x:v>0</x:v>
      </x:c>
      <x:c r="J12" s="20" t="n">
        <x:f>MAX(IF(B12&lt;Pile_Input!$B$9,D12,D12-Pile_Input!$B$10),0)</x:f>
        <x:v>0</x:v>
      </x:c>
      <x:c r="K12" s="20" t="n">
        <x:f>J12*I12</x:f>
        <x:v>0</x:v>
      </x:c>
      <x:c r="L12" s="20" t="str">
        <x:f>IF(B12="","",SUM($K$2:K12))</x:f>
      </x:c>
      <x:c r="M12" s="20" t="str">
        <x:f>IF(B12="","",L12-K12/2)</x:f>
      </x:c>
      <x:c r="N12" s="20" t="n">
        <x:f>IF(ISNUMBER(H12),0.52*H12,"")</x:f>
        <x:v>0</x:v>
      </x:c>
      <x:c r="O12" s="20" t="n">
        <x:f>IF(E12="C",AVERAGE(G12,N12),0)</x:f>
        <x:v>0</x:v>
      </x:c>
      <x:c r="P12" s="20" t="n">
        <x:f>IF(E12="C",0.93*EXP(-0.0536*O12),0)</x:f>
        <x:v>0</x:v>
      </x:c>
      <x:c r="Q12" s="20" t="n">
        <x:f>IF(E12="S",0.77*LOG10(20*95.76/MAX(M12*9.81,0.0001)),0)</x:f>
        <x:v>0</x:v>
      </x:c>
      <x:c r="R12" s="20" t="n">
        <x:f>Q12*H12</x:f>
        <x:v>0</x:v>
      </x:c>
      <x:c r="S12" s="20" t="n">
        <x:f>IF(E12="S",27.1+0.3*R12-0.00054*R12^2,0)</x:f>
        <x:v>0</x:v>
      </x:c>
      <x:c r="T12" s="20" t="n">
        <x:f>IF(E12="S",1-SIN(RADIANS(S12)),0)</x:f>
        <x:v>0</x:v>
      </x:c>
      <x:c r="U12" s="20" t="n">
        <x:f>1.5*T12</x:f>
        <x:v>0</x:v>
      </x:c>
      <x:c r="V12" s="20" t="n">
        <x:f>0.85*T12</x:f>
        <x:v>0</x:v>
      </x:c>
      <x:c r="W12" s="20" t="n">
        <x:f>IF(Pile_Input!$B$5&gt;1.5,U12,V12)</x:f>
        <x:v>0</x:v>
      </x:c>
      <x:c r="X12" s="20" t="n">
        <x:f>0.75*S12</x:f>
        <x:v>0</x:v>
      </x:c>
      <x:c r="Y12" s="20" t="n">
        <x:f>IF(E12="S",W12*TAN(RADIANS(X12)),0)</x:f>
        <x:v>0</x:v>
      </x:c>
      <x:c r="Z12" s="20" t="n">
        <x:f>P12*O12</x:f>
        <x:v>0</x:v>
      </x:c>
      <x:c r="AA12" s="20" t="n">
        <x:f>Y12*M12</x:f>
        <x:v>0</x:v>
      </x:c>
      <x:c r="AB12" s="20" t="n">
        <x:f>IF(E12="C",Z12,IF(E12="S",AA12,0))</x:f>
        <x:v>0</x:v>
      </x:c>
      <x:c r="AC12" s="20" t="n">
        <x:f>IF(B12&lt;Pile_Input!$B$8,0,MAX(AB12,0))</x:f>
        <x:v>0</x:v>
      </x:c>
      <x:c r="AD12" s="20" t="n">
        <x:f>Pile_Input!$B$7*I12</x:f>
        <x:v>0</x:v>
      </x:c>
      <x:c r="AE12" s="20" t="n">
        <x:f>AC12*AD12</x:f>
        <x:v>0</x:v>
      </x:c>
      <x:c r="AF12" s="20" t="n">
        <x:f>SUM($AE$2:AE12)</x:f>
        <x:v>2.417753626718237</x:v>
      </x:c>
      <x:c r="AG12" s="20" t="n">
        <x:f>IF(E12="S",EXP(PI()*TAN(RADIANS(S12)))*TAN(RADIANS(45+S12/2))^2*(1+TAN(RADIANS(S12))),0)</x:f>
        <x:v>0</x:v>
      </x:c>
      <x:c r="AH12" s="20" t="n">
        <x:f>IF(E12="S",0.6934*EXP(0.0974*S12),0)</x:f>
        <x:v>0</x:v>
      </x:c>
      <x:c r="AI12" s="20" t="n">
        <x:f>IF(Pile_Input!$B$5&gt;1.5,AG12,AH12)</x:f>
        <x:v>0</x:v>
      </x:c>
      <x:c r="AJ12" s="20" t="n">
        <x:f>IF(E12="S",2*(AI12+1)*TAN(RADIANS(S12)),0)</x:f>
        <x:v>0</x:v>
      </x:c>
      <x:c r="AK12" s="20" t="n">
        <x:f>MIN(9*O12,Pile_Input!$B$12)</x:f>
        <x:v>0</x:v>
      </x:c>
      <x:c r="AL12" s="20" t="n">
        <x:f>MIN((AI12-1)*L12,Pile_Input!$B$12)</x:f>
        <x:v>0</x:v>
      </x:c>
      <x:c r="AM12" s="20" t="n">
        <x:f>IF(E12="C",AK12,IF(E12="S",AL12,0))</x:f>
        <x:v>0</x:v>
      </x:c>
      <x:c r="AN12" s="20" t="e">
        <x:f>AVERAGE(INDEX($AM:$AM,MAX(2,ROW()-1)):INDEX($AM:$AM,MIN(101,ROW()+2)))</x:f>
      </x:c>
      <x:c r="AO12" s="20" t="e">
        <x:f>AN12*Pile_Input!$B$7</x:f>
      </x:c>
      <x:c r="AP12" s="20" t="e">
        <x:f>AF12+AO12</x:f>
      </x:c>
      <x:c r="AQ12" s="20" t="e">
        <x:f>AP12/Pile_Input!$B$11</x:f>
      </x:c>
      <x:c r="AR12" s="20" t="n">
        <x:f>0.25*Pile_Input!$B$4*10</x:f>
        <x:v>875</x:v>
      </x:c>
      <x:c r="AS12" s="20" t="n">
        <x:f>Pile_Input!$B$7*AR12</x:f>
        <x:v>1649.3361431346414</x:v>
      </x:c>
    </x:row>
    <x:row r="13">
      <x:c r="A13" s="20" t="n">
        <x:f>Layer_Input!A13</x:f>
        <x:v>0</x:v>
      </x:c>
      <x:c r="B13" s="20" t="n">
        <x:f>Layer_Input!B13</x:f>
        <x:v>0</x:v>
      </x:c>
      <x:c r="C13" s="20" t="n">
        <x:f>Layer_Input!C13</x:f>
        <x:v>0</x:v>
      </x:c>
      <x:c r="D13" s="20" t="n">
        <x:f>Layer_Input!D13</x:f>
        <x:v>0</x:v>
      </x:c>
      <x:c r="E13" s="20" t="n">
        <x:f>Layer_Input!E13</x:f>
        <x:v>0</x:v>
      </x:c>
      <x:c r="F13" s="20" t="n">
        <x:f>Layer_Input!F13</x:f>
        <x:v>0</x:v>
      </x:c>
      <x:c r="G13" s="20" t="n">
        <x:f>Layer_Input!G13</x:f>
        <x:v>0</x:v>
      </x:c>
      <x:c r="H13" s="20" t="n">
        <x:f>Layer_Input!H13</x:f>
        <x:v>0</x:v>
      </x:c>
      <x:c r="I13" s="20" t="n">
        <x:f>MAX(C13-B13,0)</x:f>
        <x:v>0</x:v>
      </x:c>
      <x:c r="J13" s="20" t="n">
        <x:f>MAX(IF(B13&lt;Pile_Input!$B$9,D13,D13-Pile_Input!$B$10),0)</x:f>
        <x:v>0</x:v>
      </x:c>
      <x:c r="K13" s="20" t="n">
        <x:f>J13*I13</x:f>
        <x:v>0</x:v>
      </x:c>
      <x:c r="L13" s="20" t="str">
        <x:f>IF(B13="","",SUM($K$2:K13))</x:f>
      </x:c>
      <x:c r="M13" s="20" t="str">
        <x:f>IF(B13="","",L13-K13/2)</x:f>
      </x:c>
      <x:c r="N13" s="20" t="n">
        <x:f>IF(ISNUMBER(H13),0.52*H13,"")</x:f>
        <x:v>0</x:v>
      </x:c>
      <x:c r="O13" s="20" t="n">
        <x:f>IF(E13="C",AVERAGE(G13,N13),0)</x:f>
        <x:v>0</x:v>
      </x:c>
      <x:c r="P13" s="20" t="n">
        <x:f>IF(E13="C",0.93*EXP(-0.0536*O13),0)</x:f>
        <x:v>0</x:v>
      </x:c>
      <x:c r="Q13" s="20" t="n">
        <x:f>IF(E13="S",0.77*LOG10(20*95.76/MAX(M13*9.81,0.0001)),0)</x:f>
        <x:v>0</x:v>
      </x:c>
      <x:c r="R13" s="20" t="n">
        <x:f>Q13*H13</x:f>
        <x:v>0</x:v>
      </x:c>
      <x:c r="S13" s="20" t="n">
        <x:f>IF(E13="S",27.1+0.3*R13-0.00054*R13^2,0)</x:f>
        <x:v>0</x:v>
      </x:c>
      <x:c r="T13" s="20" t="n">
        <x:f>IF(E13="S",1-SIN(RADIANS(S13)),0)</x:f>
        <x:v>0</x:v>
      </x:c>
      <x:c r="U13" s="20" t="n">
        <x:f>1.5*T13</x:f>
        <x:v>0</x:v>
      </x:c>
      <x:c r="V13" s="20" t="n">
        <x:f>0.85*T13</x:f>
        <x:v>0</x:v>
      </x:c>
      <x:c r="W13" s="20" t="n">
        <x:f>IF(Pile_Input!$B$5&gt;1.5,U13,V13)</x:f>
        <x:v>0</x:v>
      </x:c>
      <x:c r="X13" s="20" t="n">
        <x:f>0.75*S13</x:f>
        <x:v>0</x:v>
      </x:c>
      <x:c r="Y13" s="20" t="n">
        <x:f>IF(E13="S",W13*TAN(RADIANS(X13)),0)</x:f>
        <x:v>0</x:v>
      </x:c>
      <x:c r="Z13" s="20" t="n">
        <x:f>P13*O13</x:f>
        <x:v>0</x:v>
      </x:c>
      <x:c r="AA13" s="20" t="n">
        <x:f>Y13*M13</x:f>
        <x:v>0</x:v>
      </x:c>
      <x:c r="AB13" s="20" t="n">
        <x:f>IF(E13="C",Z13,IF(E13="S",AA13,0))</x:f>
        <x:v>0</x:v>
      </x:c>
      <x:c r="AC13" s="20" t="n">
        <x:f>IF(B13&lt;Pile_Input!$B$8,0,MAX(AB13,0))</x:f>
        <x:v>0</x:v>
      </x:c>
      <x:c r="AD13" s="20" t="n">
        <x:f>Pile_Input!$B$7*I13</x:f>
        <x:v>0</x:v>
      </x:c>
      <x:c r="AE13" s="20" t="n">
        <x:f>AC13*AD13</x:f>
        <x:v>0</x:v>
      </x:c>
      <x:c r="AF13" s="20" t="n">
        <x:f>SUM($AE$2:AE13)</x:f>
        <x:v>2.417753626718237</x:v>
      </x:c>
      <x:c r="AG13" s="20" t="n">
        <x:f>IF(E13="S",EXP(PI()*TAN(RADIANS(S13)))*TAN(RADIANS(45+S13/2))^2*(1+TAN(RADIANS(S13))),0)</x:f>
        <x:v>0</x:v>
      </x:c>
      <x:c r="AH13" s="20" t="n">
        <x:f>IF(E13="S",0.6934*EXP(0.0974*S13),0)</x:f>
        <x:v>0</x:v>
      </x:c>
      <x:c r="AI13" s="20" t="n">
        <x:f>IF(Pile_Input!$B$5&gt;1.5,AG13,AH13)</x:f>
        <x:v>0</x:v>
      </x:c>
      <x:c r="AJ13" s="20" t="n">
        <x:f>IF(E13="S",2*(AI13+1)*TAN(RADIANS(S13)),0)</x:f>
        <x:v>0</x:v>
      </x:c>
      <x:c r="AK13" s="20" t="n">
        <x:f>MIN(9*O13,Pile_Input!$B$12)</x:f>
        <x:v>0</x:v>
      </x:c>
      <x:c r="AL13" s="20" t="n">
        <x:f>MIN((AI13-1)*L13,Pile_Input!$B$12)</x:f>
        <x:v>0</x:v>
      </x:c>
      <x:c r="AM13" s="20" t="n">
        <x:f>IF(E13="C",AK13,IF(E13="S",AL13,0))</x:f>
        <x:v>0</x:v>
      </x:c>
      <x:c r="AN13" s="20" t="e">
        <x:f>AVERAGE(INDEX($AM:$AM,MAX(2,ROW()-1)):INDEX($AM:$AM,MIN(101,ROW()+2)))</x:f>
      </x:c>
      <x:c r="AO13" s="20" t="e">
        <x:f>AN13*Pile_Input!$B$7</x:f>
      </x:c>
      <x:c r="AP13" s="20" t="e">
        <x:f>AF13+AO13</x:f>
      </x:c>
      <x:c r="AQ13" s="20" t="e">
        <x:f>AP13/Pile_Input!$B$11</x:f>
      </x:c>
      <x:c r="AR13" s="20" t="n">
        <x:f>0.25*Pile_Input!$B$4*10</x:f>
        <x:v>875</x:v>
      </x:c>
      <x:c r="AS13" s="20" t="n">
        <x:f>Pile_Input!$B$7*AR13</x:f>
        <x:v>1649.3361431346414</x:v>
      </x:c>
    </x:row>
    <x:row r="14">
      <x:c r="A14" s="20" t="n">
        <x:f>Layer_Input!A14</x:f>
        <x:v>0</x:v>
      </x:c>
      <x:c r="B14" s="20" t="n">
        <x:f>Layer_Input!B14</x:f>
        <x:v>0</x:v>
      </x:c>
      <x:c r="C14" s="20" t="n">
        <x:f>Layer_Input!C14</x:f>
        <x:v>0</x:v>
      </x:c>
      <x:c r="D14" s="20" t="n">
        <x:f>Layer_Input!D14</x:f>
        <x:v>0</x:v>
      </x:c>
      <x:c r="E14" s="20" t="n">
        <x:f>Layer_Input!E14</x:f>
        <x:v>0</x:v>
      </x:c>
      <x:c r="F14" s="20" t="n">
        <x:f>Layer_Input!F14</x:f>
        <x:v>0</x:v>
      </x:c>
      <x:c r="G14" s="20" t="n">
        <x:f>Layer_Input!G14</x:f>
        <x:v>0</x:v>
      </x:c>
      <x:c r="H14" s="20" t="n">
        <x:f>Layer_Input!H14</x:f>
        <x:v>0</x:v>
      </x:c>
      <x:c r="I14" s="20" t="n">
        <x:f>MAX(C14-B14,0)</x:f>
        <x:v>0</x:v>
      </x:c>
      <x:c r="J14" s="20" t="n">
        <x:f>MAX(IF(B14&lt;Pile_Input!$B$9,D14,D14-Pile_Input!$B$10),0)</x:f>
        <x:v>0</x:v>
      </x:c>
      <x:c r="K14" s="20" t="n">
        <x:f>J14*I14</x:f>
        <x:v>0</x:v>
      </x:c>
      <x:c r="L14" s="20" t="str">
        <x:f>IF(B14="","",SUM($K$2:K14))</x:f>
      </x:c>
      <x:c r="M14" s="20" t="str">
        <x:f>IF(B14="","",L14-K14/2)</x:f>
      </x:c>
      <x:c r="N14" s="20" t="n">
        <x:f>IF(ISNUMBER(H14),0.52*H14,"")</x:f>
        <x:v>0</x:v>
      </x:c>
      <x:c r="O14" s="20" t="n">
        <x:f>IF(E14="C",AVERAGE(G14,N14),0)</x:f>
        <x:v>0</x:v>
      </x:c>
      <x:c r="P14" s="20" t="n">
        <x:f>IF(E14="C",0.93*EXP(-0.0536*O14),0)</x:f>
        <x:v>0</x:v>
      </x:c>
      <x:c r="Q14" s="20" t="n">
        <x:f>IF(E14="S",0.77*LOG10(20*95.76/MAX(M14*9.81,0.0001)),0)</x:f>
        <x:v>0</x:v>
      </x:c>
      <x:c r="R14" s="20" t="n">
        <x:f>Q14*H14</x:f>
        <x:v>0</x:v>
      </x:c>
      <x:c r="S14" s="20" t="n">
        <x:f>IF(E14="S",27.1+0.3*R14-0.00054*R14^2,0)</x:f>
        <x:v>0</x:v>
      </x:c>
      <x:c r="T14" s="20" t="n">
        <x:f>IF(E14="S",1-SIN(RADIANS(S14)),0)</x:f>
        <x:v>0</x:v>
      </x:c>
      <x:c r="U14" s="20" t="n">
        <x:f>1.5*T14</x:f>
        <x:v>0</x:v>
      </x:c>
      <x:c r="V14" s="20" t="n">
        <x:f>0.85*T14</x:f>
        <x:v>0</x:v>
      </x:c>
      <x:c r="W14" s="20" t="n">
        <x:f>IF(Pile_Input!$B$5&gt;1.5,U14,V14)</x:f>
        <x:v>0</x:v>
      </x:c>
      <x:c r="X14" s="20" t="n">
        <x:f>0.75*S14</x:f>
        <x:v>0</x:v>
      </x:c>
      <x:c r="Y14" s="20" t="n">
        <x:f>IF(E14="S",W14*TAN(RADIANS(X14)),0)</x:f>
        <x:v>0</x:v>
      </x:c>
      <x:c r="Z14" s="20" t="n">
        <x:f>P14*O14</x:f>
        <x:v>0</x:v>
      </x:c>
      <x:c r="AA14" s="20" t="n">
        <x:f>Y14*M14</x:f>
        <x:v>0</x:v>
      </x:c>
      <x:c r="AB14" s="20" t="n">
        <x:f>IF(E14="C",Z14,IF(E14="S",AA14,0))</x:f>
        <x:v>0</x:v>
      </x:c>
      <x:c r="AC14" s="20" t="n">
        <x:f>IF(B14&lt;Pile_Input!$B$8,0,MAX(AB14,0))</x:f>
        <x:v>0</x:v>
      </x:c>
      <x:c r="AD14" s="20" t="n">
        <x:f>Pile_Input!$B$7*I14</x:f>
        <x:v>0</x:v>
      </x:c>
      <x:c r="AE14" s="20" t="n">
        <x:f>AC14*AD14</x:f>
        <x:v>0</x:v>
      </x:c>
      <x:c r="AF14" s="20" t="n">
        <x:f>SUM($AE$2:AE14)</x:f>
        <x:v>2.417753626718237</x:v>
      </x:c>
      <x:c r="AG14" s="20" t="n">
        <x:f>IF(E14="S",EXP(PI()*TAN(RADIANS(S14)))*TAN(RADIANS(45+S14/2))^2*(1+TAN(RADIANS(S14))),0)</x:f>
        <x:v>0</x:v>
      </x:c>
      <x:c r="AH14" s="20" t="n">
        <x:f>IF(E14="S",0.6934*EXP(0.0974*S14),0)</x:f>
        <x:v>0</x:v>
      </x:c>
      <x:c r="AI14" s="20" t="n">
        <x:f>IF(Pile_Input!$B$5&gt;1.5,AG14,AH14)</x:f>
        <x:v>0</x:v>
      </x:c>
      <x:c r="AJ14" s="20" t="n">
        <x:f>IF(E14="S",2*(AI14+1)*TAN(RADIANS(S14)),0)</x:f>
        <x:v>0</x:v>
      </x:c>
      <x:c r="AK14" s="20" t="n">
        <x:f>MIN(9*O14,Pile_Input!$B$12)</x:f>
        <x:v>0</x:v>
      </x:c>
      <x:c r="AL14" s="20" t="n">
        <x:f>MIN((AI14-1)*L14,Pile_Input!$B$12)</x:f>
        <x:v>0</x:v>
      </x:c>
      <x:c r="AM14" s="20" t="n">
        <x:f>IF(E14="C",AK14,IF(E14="S",AL14,0))</x:f>
        <x:v>0</x:v>
      </x:c>
      <x:c r="AN14" s="20" t="e">
        <x:f>AVERAGE(INDEX($AM:$AM,MAX(2,ROW()-1)):INDEX($AM:$AM,MIN(101,ROW()+2)))</x:f>
      </x:c>
      <x:c r="AO14" s="20" t="e">
        <x:f>AN14*Pile_Input!$B$7</x:f>
      </x:c>
      <x:c r="AP14" s="20" t="e">
        <x:f>AF14+AO14</x:f>
      </x:c>
      <x:c r="AQ14" s="20" t="e">
        <x:f>AP14/Pile_Input!$B$11</x:f>
      </x:c>
      <x:c r="AR14" s="20" t="n">
        <x:f>0.25*Pile_Input!$B$4*10</x:f>
        <x:v>875</x:v>
      </x:c>
      <x:c r="AS14" s="20" t="n">
        <x:f>Pile_Input!$B$7*AR14</x:f>
        <x:v>1649.3361431346414</x:v>
      </x:c>
    </x:row>
    <x:row r="15">
      <x:c r="A15" s="20" t="n">
        <x:f>Layer_Input!A15</x:f>
        <x:v>0</x:v>
      </x:c>
      <x:c r="B15" s="20" t="n">
        <x:f>Layer_Input!B15</x:f>
        <x:v>0</x:v>
      </x:c>
      <x:c r="C15" s="20" t="n">
        <x:f>Layer_Input!C15</x:f>
        <x:v>0</x:v>
      </x:c>
      <x:c r="D15" s="20" t="n">
        <x:f>Layer_Input!D15</x:f>
        <x:v>0</x:v>
      </x:c>
      <x:c r="E15" s="20" t="n">
        <x:f>Layer_Input!E15</x:f>
        <x:v>0</x:v>
      </x:c>
      <x:c r="F15" s="20" t="n">
        <x:f>Layer_Input!F15</x:f>
        <x:v>0</x:v>
      </x:c>
      <x:c r="G15" s="20" t="n">
        <x:f>Layer_Input!G15</x:f>
        <x:v>0</x:v>
      </x:c>
      <x:c r="H15" s="20" t="n">
        <x:f>Layer_Input!H15</x:f>
        <x:v>0</x:v>
      </x:c>
      <x:c r="I15" s="20" t="n">
        <x:f>MAX(C15-B15,0)</x:f>
        <x:v>0</x:v>
      </x:c>
      <x:c r="J15" s="20" t="n">
        <x:f>MAX(IF(B15&lt;Pile_Input!$B$9,D15,D15-Pile_Input!$B$10),0)</x:f>
        <x:v>0</x:v>
      </x:c>
      <x:c r="K15" s="20" t="n">
        <x:f>J15*I15</x:f>
        <x:v>0</x:v>
      </x:c>
      <x:c r="L15" s="20" t="str">
        <x:f>IF(B15="","",SUM($K$2:K15))</x:f>
      </x:c>
      <x:c r="M15" s="20" t="str">
        <x:f>IF(B15="","",L15-K15/2)</x:f>
      </x:c>
      <x:c r="N15" s="20" t="n">
        <x:f>IF(ISNUMBER(H15),0.52*H15,"")</x:f>
        <x:v>0</x:v>
      </x:c>
      <x:c r="O15" s="20" t="n">
        <x:f>IF(E15="C",AVERAGE(G15,N15),0)</x:f>
        <x:v>0</x:v>
      </x:c>
      <x:c r="P15" s="20" t="n">
        <x:f>IF(E15="C",0.93*EXP(-0.0536*O15),0)</x:f>
        <x:v>0</x:v>
      </x:c>
      <x:c r="Q15" s="20" t="n">
        <x:f>IF(E15="S",0.77*LOG10(20*95.76/MAX(M15*9.81,0.0001)),0)</x:f>
        <x:v>0</x:v>
      </x:c>
      <x:c r="R15" s="20" t="n">
        <x:f>Q15*H15</x:f>
        <x:v>0</x:v>
      </x:c>
      <x:c r="S15" s="20" t="n">
        <x:f>IF(E15="S",27.1+0.3*R15-0.00054*R15^2,0)</x:f>
        <x:v>0</x:v>
      </x:c>
      <x:c r="T15" s="20" t="n">
        <x:f>IF(E15="S",1-SIN(RADIANS(S15)),0)</x:f>
        <x:v>0</x:v>
      </x:c>
      <x:c r="U15" s="20" t="n">
        <x:f>1.5*T15</x:f>
        <x:v>0</x:v>
      </x:c>
      <x:c r="V15" s="20" t="n">
        <x:f>0.85*T15</x:f>
        <x:v>0</x:v>
      </x:c>
      <x:c r="W15" s="20" t="n">
        <x:f>IF(Pile_Input!$B$5&gt;1.5,U15,V15)</x:f>
        <x:v>0</x:v>
      </x:c>
      <x:c r="X15" s="20" t="n">
        <x:f>0.75*S15</x:f>
        <x:v>0</x:v>
      </x:c>
      <x:c r="Y15" s="20" t="n">
        <x:f>IF(E15="S",W15*TAN(RADIANS(X15)),0)</x:f>
        <x:v>0</x:v>
      </x:c>
      <x:c r="Z15" s="20" t="n">
        <x:f>P15*O15</x:f>
        <x:v>0</x:v>
      </x:c>
      <x:c r="AA15" s="20" t="n">
        <x:f>Y15*M15</x:f>
        <x:v>0</x:v>
      </x:c>
      <x:c r="AB15" s="20" t="n">
        <x:f>IF(E15="C",Z15,IF(E15="S",AA15,0))</x:f>
        <x:v>0</x:v>
      </x:c>
      <x:c r="AC15" s="20" t="n">
        <x:f>IF(B15&lt;Pile_Input!$B$8,0,MAX(AB15,0))</x:f>
        <x:v>0</x:v>
      </x:c>
      <x:c r="AD15" s="20" t="n">
        <x:f>Pile_Input!$B$7*I15</x:f>
        <x:v>0</x:v>
      </x:c>
      <x:c r="AE15" s="20" t="n">
        <x:f>AC15*AD15</x:f>
        <x:v>0</x:v>
      </x:c>
      <x:c r="AF15" s="20" t="n">
        <x:f>SUM($AE$2:AE15)</x:f>
        <x:v>2.417753626718237</x:v>
      </x:c>
      <x:c r="AG15" s="20" t="n">
        <x:f>IF(E15="S",EXP(PI()*TAN(RADIANS(S15)))*TAN(RADIANS(45+S15/2))^2*(1+TAN(RADIANS(S15))),0)</x:f>
        <x:v>0</x:v>
      </x:c>
      <x:c r="AH15" s="20" t="n">
        <x:f>IF(E15="S",0.6934*EXP(0.0974*S15),0)</x:f>
        <x:v>0</x:v>
      </x:c>
      <x:c r="AI15" s="20" t="n">
        <x:f>IF(Pile_Input!$B$5&gt;1.5,AG15,AH15)</x:f>
        <x:v>0</x:v>
      </x:c>
      <x:c r="AJ15" s="20" t="n">
        <x:f>IF(E15="S",2*(AI15+1)*TAN(RADIANS(S15)),0)</x:f>
        <x:v>0</x:v>
      </x:c>
      <x:c r="AK15" s="20" t="n">
        <x:f>MIN(9*O15,Pile_Input!$B$12)</x:f>
        <x:v>0</x:v>
      </x:c>
      <x:c r="AL15" s="20" t="n">
        <x:f>MIN((AI15-1)*L15,Pile_Input!$B$12)</x:f>
        <x:v>0</x:v>
      </x:c>
      <x:c r="AM15" s="20" t="n">
        <x:f>IF(E15="C",AK15,IF(E15="S",AL15,0))</x:f>
        <x:v>0</x:v>
      </x:c>
      <x:c r="AN15" s="20" t="e">
        <x:f>AVERAGE(INDEX($AM:$AM,MAX(2,ROW()-1)):INDEX($AM:$AM,MIN(101,ROW()+2)))</x:f>
      </x:c>
      <x:c r="AO15" s="20" t="e">
        <x:f>AN15*Pile_Input!$B$7</x:f>
      </x:c>
      <x:c r="AP15" s="20" t="e">
        <x:f>AF15+AO15</x:f>
      </x:c>
      <x:c r="AQ15" s="20" t="e">
        <x:f>AP15/Pile_Input!$B$11</x:f>
      </x:c>
      <x:c r="AR15" s="20" t="n">
        <x:f>0.25*Pile_Input!$B$4*10</x:f>
        <x:v>875</x:v>
      </x:c>
      <x:c r="AS15" s="20" t="n">
        <x:f>Pile_Input!$B$7*AR15</x:f>
        <x:v>1649.3361431346414</x:v>
      </x:c>
    </x:row>
    <x:row r="16">
      <x:c r="A16" s="20" t="n">
        <x:f>Layer_Input!A16</x:f>
        <x:v>0</x:v>
      </x:c>
      <x:c r="B16" s="20" t="n">
        <x:f>Layer_Input!B16</x:f>
        <x:v>0</x:v>
      </x:c>
      <x:c r="C16" s="20" t="n">
        <x:f>Layer_Input!C16</x:f>
        <x:v>0</x:v>
      </x:c>
      <x:c r="D16" s="20" t="n">
        <x:f>Layer_Input!D16</x:f>
        <x:v>0</x:v>
      </x:c>
      <x:c r="E16" s="20" t="n">
        <x:f>Layer_Input!E16</x:f>
        <x:v>0</x:v>
      </x:c>
      <x:c r="F16" s="20" t="n">
        <x:f>Layer_Input!F16</x:f>
        <x:v>0</x:v>
      </x:c>
      <x:c r="G16" s="20" t="n">
        <x:f>Layer_Input!G16</x:f>
        <x:v>0</x:v>
      </x:c>
      <x:c r="H16" s="20" t="n">
        <x:f>Layer_Input!H16</x:f>
        <x:v>0</x:v>
      </x:c>
      <x:c r="I16" s="20" t="n">
        <x:f>MAX(C16-B16,0)</x:f>
        <x:v>0</x:v>
      </x:c>
      <x:c r="J16" s="20" t="n">
        <x:f>MAX(IF(B16&lt;Pile_Input!$B$9,D16,D16-Pile_Input!$B$10),0)</x:f>
        <x:v>0</x:v>
      </x:c>
      <x:c r="K16" s="20" t="n">
        <x:f>J16*I16</x:f>
        <x:v>0</x:v>
      </x:c>
      <x:c r="L16" s="20" t="str">
        <x:f>IF(B16="","",SUM($K$2:K16))</x:f>
      </x:c>
      <x:c r="M16" s="20" t="str">
        <x:f>IF(B16="","",L16-K16/2)</x:f>
      </x:c>
      <x:c r="N16" s="20" t="n">
        <x:f>IF(ISNUMBER(H16),0.52*H16,"")</x:f>
        <x:v>0</x:v>
      </x:c>
      <x:c r="O16" s="20" t="n">
        <x:f>IF(E16="C",AVERAGE(G16,N16),0)</x:f>
        <x:v>0</x:v>
      </x:c>
      <x:c r="P16" s="20" t="n">
        <x:f>IF(E16="C",0.93*EXP(-0.0536*O16),0)</x:f>
        <x:v>0</x:v>
      </x:c>
      <x:c r="Q16" s="20" t="n">
        <x:f>IF(E16="S",0.77*LOG10(20*95.76/MAX(M16*9.81,0.0001)),0)</x:f>
        <x:v>0</x:v>
      </x:c>
      <x:c r="R16" s="20" t="n">
        <x:f>Q16*H16</x:f>
        <x:v>0</x:v>
      </x:c>
      <x:c r="S16" s="20" t="n">
        <x:f>IF(E16="S",27.1+0.3*R16-0.00054*R16^2,0)</x:f>
        <x:v>0</x:v>
      </x:c>
      <x:c r="T16" s="20" t="n">
        <x:f>IF(E16="S",1-SIN(RADIANS(S16)),0)</x:f>
        <x:v>0</x:v>
      </x:c>
      <x:c r="U16" s="20" t="n">
        <x:f>1.5*T16</x:f>
        <x:v>0</x:v>
      </x:c>
      <x:c r="V16" s="20" t="n">
        <x:f>0.85*T16</x:f>
        <x:v>0</x:v>
      </x:c>
      <x:c r="W16" s="20" t="n">
        <x:f>IF(Pile_Input!$B$5&gt;1.5,U16,V16)</x:f>
        <x:v>0</x:v>
      </x:c>
      <x:c r="X16" s="20" t="n">
        <x:f>0.75*S16</x:f>
        <x:v>0</x:v>
      </x:c>
      <x:c r="Y16" s="20" t="n">
        <x:f>IF(E16="S",W16*TAN(RADIANS(X16)),0)</x:f>
        <x:v>0</x:v>
      </x:c>
      <x:c r="Z16" s="20" t="n">
        <x:f>P16*O16</x:f>
        <x:v>0</x:v>
      </x:c>
      <x:c r="AA16" s="20" t="n">
        <x:f>Y16*M16</x:f>
        <x:v>0</x:v>
      </x:c>
      <x:c r="AB16" s="20" t="n">
        <x:f>IF(E16="C",Z16,IF(E16="S",AA16,0))</x:f>
        <x:v>0</x:v>
      </x:c>
      <x:c r="AC16" s="20" t="n">
        <x:f>IF(B16&lt;Pile_Input!$B$8,0,MAX(AB16,0))</x:f>
        <x:v>0</x:v>
      </x:c>
      <x:c r="AD16" s="20" t="n">
        <x:f>Pile_Input!$B$7*I16</x:f>
        <x:v>0</x:v>
      </x:c>
      <x:c r="AE16" s="20" t="n">
        <x:f>AC16*AD16</x:f>
        <x:v>0</x:v>
      </x:c>
      <x:c r="AF16" s="20" t="n">
        <x:f>SUM($AE$2:AE16)</x:f>
        <x:v>2.417753626718237</x:v>
      </x:c>
      <x:c r="AG16" s="20" t="n">
        <x:f>IF(E16="S",EXP(PI()*TAN(RADIANS(S16)))*TAN(RADIANS(45+S16/2))^2*(1+TAN(RADIANS(S16))),0)</x:f>
        <x:v>0</x:v>
      </x:c>
      <x:c r="AH16" s="20" t="n">
        <x:f>IF(E16="S",0.6934*EXP(0.0974*S16),0)</x:f>
        <x:v>0</x:v>
      </x:c>
      <x:c r="AI16" s="20" t="n">
        <x:f>IF(Pile_Input!$B$5&gt;1.5,AG16,AH16)</x:f>
        <x:v>0</x:v>
      </x:c>
      <x:c r="AJ16" s="20" t="n">
        <x:f>IF(E16="S",2*(AI16+1)*TAN(RADIANS(S16)),0)</x:f>
        <x:v>0</x:v>
      </x:c>
      <x:c r="AK16" s="20" t="n">
        <x:f>MIN(9*O16,Pile_Input!$B$12)</x:f>
        <x:v>0</x:v>
      </x:c>
      <x:c r="AL16" s="20" t="n">
        <x:f>MIN((AI16-1)*L16,Pile_Input!$B$12)</x:f>
        <x:v>0</x:v>
      </x:c>
      <x:c r="AM16" s="20" t="n">
        <x:f>IF(E16="C",AK16,IF(E16="S",AL16,0))</x:f>
        <x:v>0</x:v>
      </x:c>
      <x:c r="AN16" s="20" t="e">
        <x:f>AVERAGE(INDEX($AM:$AM,MAX(2,ROW()-1)):INDEX($AM:$AM,MIN(101,ROW()+2)))</x:f>
      </x:c>
      <x:c r="AO16" s="20" t="e">
        <x:f>AN16*Pile_Input!$B$7</x:f>
      </x:c>
      <x:c r="AP16" s="20" t="e">
        <x:f>AF16+AO16</x:f>
      </x:c>
      <x:c r="AQ16" s="20" t="e">
        <x:f>AP16/Pile_Input!$B$11</x:f>
      </x:c>
      <x:c r="AR16" s="20" t="n">
        <x:f>0.25*Pile_Input!$B$4*10</x:f>
        <x:v>875</x:v>
      </x:c>
      <x:c r="AS16" s="20" t="n">
        <x:f>Pile_Input!$B$7*AR16</x:f>
        <x:v>1649.3361431346414</x:v>
      </x:c>
    </x:row>
    <x:row r="17">
      <x:c r="A17" s="20" t="n">
        <x:f>Layer_Input!A17</x:f>
        <x:v>0</x:v>
      </x:c>
      <x:c r="B17" s="20" t="n">
        <x:f>Layer_Input!B17</x:f>
        <x:v>0</x:v>
      </x:c>
      <x:c r="C17" s="20" t="n">
        <x:f>Layer_Input!C17</x:f>
        <x:v>0</x:v>
      </x:c>
      <x:c r="D17" s="20" t="n">
        <x:f>Layer_Input!D17</x:f>
        <x:v>0</x:v>
      </x:c>
      <x:c r="E17" s="20" t="n">
        <x:f>Layer_Input!E17</x:f>
        <x:v>0</x:v>
      </x:c>
      <x:c r="F17" s="20" t="n">
        <x:f>Layer_Input!F17</x:f>
        <x:v>0</x:v>
      </x:c>
      <x:c r="G17" s="20" t="n">
        <x:f>Layer_Input!G17</x:f>
        <x:v>0</x:v>
      </x:c>
      <x:c r="H17" s="20" t="n">
        <x:f>Layer_Input!H17</x:f>
        <x:v>0</x:v>
      </x:c>
      <x:c r="I17" s="20" t="n">
        <x:f>MAX(C17-B17,0)</x:f>
        <x:v>0</x:v>
      </x:c>
      <x:c r="J17" s="20" t="n">
        <x:f>MAX(IF(B17&lt;Pile_Input!$B$9,D17,D17-Pile_Input!$B$10),0)</x:f>
        <x:v>0</x:v>
      </x:c>
      <x:c r="K17" s="20" t="n">
        <x:f>J17*I17</x:f>
        <x:v>0</x:v>
      </x:c>
      <x:c r="L17" s="20" t="str">
        <x:f>IF(B17="","",SUM($K$2:K17))</x:f>
      </x:c>
      <x:c r="M17" s="20" t="str">
        <x:f>IF(B17="","",L17-K17/2)</x:f>
      </x:c>
      <x:c r="N17" s="20" t="n">
        <x:f>IF(ISNUMBER(H17),0.52*H17,"")</x:f>
        <x:v>0</x:v>
      </x:c>
      <x:c r="O17" s="20" t="n">
        <x:f>IF(E17="C",AVERAGE(G17,N17),0)</x:f>
        <x:v>0</x:v>
      </x:c>
      <x:c r="P17" s="20" t="n">
        <x:f>IF(E17="C",0.93*EXP(-0.0536*O17),0)</x:f>
        <x:v>0</x:v>
      </x:c>
      <x:c r="Q17" s="20" t="n">
        <x:f>IF(E17="S",0.77*LOG10(20*95.76/MAX(M17*9.81,0.0001)),0)</x:f>
        <x:v>0</x:v>
      </x:c>
      <x:c r="R17" s="20" t="n">
        <x:f>Q17*H17</x:f>
        <x:v>0</x:v>
      </x:c>
      <x:c r="S17" s="20" t="n">
        <x:f>IF(E17="S",27.1+0.3*R17-0.00054*R17^2,0)</x:f>
        <x:v>0</x:v>
      </x:c>
      <x:c r="T17" s="20" t="n">
        <x:f>IF(E17="S",1-SIN(RADIANS(S17)),0)</x:f>
        <x:v>0</x:v>
      </x:c>
      <x:c r="U17" s="20" t="n">
        <x:f>1.5*T17</x:f>
        <x:v>0</x:v>
      </x:c>
      <x:c r="V17" s="20" t="n">
        <x:f>0.85*T17</x:f>
        <x:v>0</x:v>
      </x:c>
      <x:c r="W17" s="20" t="n">
        <x:f>IF(Pile_Input!$B$5&gt;1.5,U17,V17)</x:f>
        <x:v>0</x:v>
      </x:c>
      <x:c r="X17" s="20" t="n">
        <x:f>0.75*S17</x:f>
        <x:v>0</x:v>
      </x:c>
      <x:c r="Y17" s="20" t="n">
        <x:f>IF(E17="S",W17*TAN(RADIANS(X17)),0)</x:f>
        <x:v>0</x:v>
      </x:c>
      <x:c r="Z17" s="20" t="n">
        <x:f>P17*O17</x:f>
        <x:v>0</x:v>
      </x:c>
      <x:c r="AA17" s="20" t="n">
        <x:f>Y17*M17</x:f>
        <x:v>0</x:v>
      </x:c>
      <x:c r="AB17" s="20" t="n">
        <x:f>IF(E17="C",Z17,IF(E17="S",AA17,0))</x:f>
        <x:v>0</x:v>
      </x:c>
      <x:c r="AC17" s="20" t="n">
        <x:f>IF(B17&lt;Pile_Input!$B$8,0,MAX(AB17,0))</x:f>
        <x:v>0</x:v>
      </x:c>
      <x:c r="AD17" s="20" t="n">
        <x:f>Pile_Input!$B$7*I17</x:f>
        <x:v>0</x:v>
      </x:c>
      <x:c r="AE17" s="20" t="n">
        <x:f>AC17*AD17</x:f>
        <x:v>0</x:v>
      </x:c>
      <x:c r="AF17" s="20" t="n">
        <x:f>SUM($AE$2:AE17)</x:f>
        <x:v>2.417753626718237</x:v>
      </x:c>
      <x:c r="AG17" s="20" t="n">
        <x:f>IF(E17="S",EXP(PI()*TAN(RADIANS(S17)))*TAN(RADIANS(45+S17/2))^2*(1+TAN(RADIANS(S17))),0)</x:f>
        <x:v>0</x:v>
      </x:c>
      <x:c r="AH17" s="20" t="n">
        <x:f>IF(E17="S",0.6934*EXP(0.0974*S17),0)</x:f>
        <x:v>0</x:v>
      </x:c>
      <x:c r="AI17" s="20" t="n">
        <x:f>IF(Pile_Input!$B$5&gt;1.5,AG17,AH17)</x:f>
        <x:v>0</x:v>
      </x:c>
      <x:c r="AJ17" s="20" t="n">
        <x:f>IF(E17="S",2*(AI17+1)*TAN(RADIANS(S17)),0)</x:f>
        <x:v>0</x:v>
      </x:c>
      <x:c r="AK17" s="20" t="n">
        <x:f>MIN(9*O17,Pile_Input!$B$12)</x:f>
        <x:v>0</x:v>
      </x:c>
      <x:c r="AL17" s="20" t="n">
        <x:f>MIN((AI17-1)*L17,Pile_Input!$B$12)</x:f>
        <x:v>0</x:v>
      </x:c>
      <x:c r="AM17" s="20" t="n">
        <x:f>IF(E17="C",AK17,IF(E17="S",AL17,0))</x:f>
        <x:v>0</x:v>
      </x:c>
      <x:c r="AN17" s="20" t="e">
        <x:f>AVERAGE(INDEX($AM:$AM,MAX(2,ROW()-1)):INDEX($AM:$AM,MIN(101,ROW()+2)))</x:f>
      </x:c>
      <x:c r="AO17" s="20" t="e">
        <x:f>AN17*Pile_Input!$B$7</x:f>
      </x:c>
      <x:c r="AP17" s="20" t="e">
        <x:f>AF17+AO17</x:f>
      </x:c>
      <x:c r="AQ17" s="20" t="e">
        <x:f>AP17/Pile_Input!$B$11</x:f>
      </x:c>
      <x:c r="AR17" s="20" t="n">
        <x:f>0.25*Pile_Input!$B$4*10</x:f>
        <x:v>875</x:v>
      </x:c>
      <x:c r="AS17" s="20" t="n">
        <x:f>Pile_Input!$B$7*AR17</x:f>
        <x:v>1649.3361431346414</x:v>
      </x:c>
    </x:row>
    <x:row r="18">
      <x:c r="A18" s="20" t="n">
        <x:f>Layer_Input!A18</x:f>
        <x:v>0</x:v>
      </x:c>
      <x:c r="B18" s="20" t="n">
        <x:f>Layer_Input!B18</x:f>
        <x:v>0</x:v>
      </x:c>
      <x:c r="C18" s="20" t="n">
        <x:f>Layer_Input!C18</x:f>
        <x:v>0</x:v>
      </x:c>
      <x:c r="D18" s="20" t="n">
        <x:f>Layer_Input!D18</x:f>
        <x:v>0</x:v>
      </x:c>
      <x:c r="E18" s="20" t="n">
        <x:f>Layer_Input!E18</x:f>
        <x:v>0</x:v>
      </x:c>
      <x:c r="F18" s="20" t="n">
        <x:f>Layer_Input!F18</x:f>
        <x:v>0</x:v>
      </x:c>
      <x:c r="G18" s="20" t="n">
        <x:f>Layer_Input!G18</x:f>
        <x:v>0</x:v>
      </x:c>
      <x:c r="H18" s="20" t="n">
        <x:f>Layer_Input!H18</x:f>
        <x:v>0</x:v>
      </x:c>
      <x:c r="I18" s="20" t="n">
        <x:f>MAX(C18-B18,0)</x:f>
        <x:v>0</x:v>
      </x:c>
      <x:c r="J18" s="20" t="n">
        <x:f>MAX(IF(B18&lt;Pile_Input!$B$9,D18,D18-Pile_Input!$B$10),0)</x:f>
        <x:v>0</x:v>
      </x:c>
      <x:c r="K18" s="20" t="n">
        <x:f>J18*I18</x:f>
        <x:v>0</x:v>
      </x:c>
      <x:c r="L18" s="20" t="str">
        <x:f>IF(B18="","",SUM($K$2:K18))</x:f>
      </x:c>
      <x:c r="M18" s="20" t="str">
        <x:f>IF(B18="","",L18-K18/2)</x:f>
      </x:c>
      <x:c r="N18" s="20" t="n">
        <x:f>IF(ISNUMBER(H18),0.52*H18,"")</x:f>
        <x:v>0</x:v>
      </x:c>
      <x:c r="O18" s="20" t="n">
        <x:f>IF(E18="C",AVERAGE(G18,N18),0)</x:f>
        <x:v>0</x:v>
      </x:c>
      <x:c r="P18" s="20" t="n">
        <x:f>IF(E18="C",0.93*EXP(-0.0536*O18),0)</x:f>
        <x:v>0</x:v>
      </x:c>
      <x:c r="Q18" s="20" t="n">
        <x:f>IF(E18="S",0.77*LOG10(20*95.76/MAX(M18*9.81,0.0001)),0)</x:f>
        <x:v>0</x:v>
      </x:c>
      <x:c r="R18" s="20" t="n">
        <x:f>Q18*H18</x:f>
        <x:v>0</x:v>
      </x:c>
      <x:c r="S18" s="20" t="n">
        <x:f>IF(E18="S",27.1+0.3*R18-0.00054*R18^2,0)</x:f>
        <x:v>0</x:v>
      </x:c>
      <x:c r="T18" s="20" t="n">
        <x:f>IF(E18="S",1-SIN(RADIANS(S18)),0)</x:f>
        <x:v>0</x:v>
      </x:c>
      <x:c r="U18" s="20" t="n">
        <x:f>1.5*T18</x:f>
        <x:v>0</x:v>
      </x:c>
      <x:c r="V18" s="20" t="n">
        <x:f>0.85*T18</x:f>
        <x:v>0</x:v>
      </x:c>
      <x:c r="W18" s="20" t="n">
        <x:f>IF(Pile_Input!$B$5&gt;1.5,U18,V18)</x:f>
        <x:v>0</x:v>
      </x:c>
      <x:c r="X18" s="20" t="n">
        <x:f>0.75*S18</x:f>
        <x:v>0</x:v>
      </x:c>
      <x:c r="Y18" s="20" t="n">
        <x:f>IF(E18="S",W18*TAN(RADIANS(X18)),0)</x:f>
        <x:v>0</x:v>
      </x:c>
      <x:c r="Z18" s="20" t="n">
        <x:f>P18*O18</x:f>
        <x:v>0</x:v>
      </x:c>
      <x:c r="AA18" s="20" t="n">
        <x:f>Y18*M18</x:f>
        <x:v>0</x:v>
      </x:c>
      <x:c r="AB18" s="20" t="n">
        <x:f>IF(E18="C",Z18,IF(E18="S",AA18,0))</x:f>
        <x:v>0</x:v>
      </x:c>
      <x:c r="AC18" s="20" t="n">
        <x:f>IF(B18&lt;Pile_Input!$B$8,0,MAX(AB18,0))</x:f>
        <x:v>0</x:v>
      </x:c>
      <x:c r="AD18" s="20" t="n">
        <x:f>Pile_Input!$B$7*I18</x:f>
        <x:v>0</x:v>
      </x:c>
      <x:c r="AE18" s="20" t="n">
        <x:f>AC18*AD18</x:f>
        <x:v>0</x:v>
      </x:c>
      <x:c r="AF18" s="20" t="n">
        <x:f>SUM($AE$2:AE18)</x:f>
        <x:v>2.417753626718237</x:v>
      </x:c>
      <x:c r="AG18" s="20" t="n">
        <x:f>IF(E18="S",EXP(PI()*TAN(RADIANS(S18)))*TAN(RADIANS(45+S18/2))^2*(1+TAN(RADIANS(S18))),0)</x:f>
        <x:v>0</x:v>
      </x:c>
      <x:c r="AH18" s="20" t="n">
        <x:f>IF(E18="S",0.6934*EXP(0.0974*S18),0)</x:f>
        <x:v>0</x:v>
      </x:c>
      <x:c r="AI18" s="20" t="n">
        <x:f>IF(Pile_Input!$B$5&gt;1.5,AG18,AH18)</x:f>
        <x:v>0</x:v>
      </x:c>
      <x:c r="AJ18" s="20" t="n">
        <x:f>IF(E18="S",2*(AI18+1)*TAN(RADIANS(S18)),0)</x:f>
        <x:v>0</x:v>
      </x:c>
      <x:c r="AK18" s="20" t="n">
        <x:f>MIN(9*O18,Pile_Input!$B$12)</x:f>
        <x:v>0</x:v>
      </x:c>
      <x:c r="AL18" s="20" t="n">
        <x:f>MIN((AI18-1)*L18,Pile_Input!$B$12)</x:f>
        <x:v>0</x:v>
      </x:c>
      <x:c r="AM18" s="20" t="n">
        <x:f>IF(E18="C",AK18,IF(E18="S",AL18,0))</x:f>
        <x:v>0</x:v>
      </x:c>
      <x:c r="AN18" s="20" t="e">
        <x:f>AVERAGE(INDEX($AM:$AM,MAX(2,ROW()-1)):INDEX($AM:$AM,MIN(101,ROW()+2)))</x:f>
      </x:c>
      <x:c r="AO18" s="20" t="e">
        <x:f>AN18*Pile_Input!$B$7</x:f>
      </x:c>
      <x:c r="AP18" s="20" t="e">
        <x:f>AF18+AO18</x:f>
      </x:c>
      <x:c r="AQ18" s="20" t="e">
        <x:f>AP18/Pile_Input!$B$11</x:f>
      </x:c>
      <x:c r="AR18" s="20" t="n">
        <x:f>0.25*Pile_Input!$B$4*10</x:f>
        <x:v>875</x:v>
      </x:c>
      <x:c r="AS18" s="20" t="n">
        <x:f>Pile_Input!$B$7*AR18</x:f>
        <x:v>1649.3361431346414</x:v>
      </x:c>
    </x:row>
    <x:row r="19">
      <x:c r="A19" s="20" t="n">
        <x:f>Layer_Input!A19</x:f>
        <x:v>0</x:v>
      </x:c>
      <x:c r="B19" s="20" t="n">
        <x:f>Layer_Input!B19</x:f>
        <x:v>0</x:v>
      </x:c>
      <x:c r="C19" s="20" t="n">
        <x:f>Layer_Input!C19</x:f>
        <x:v>0</x:v>
      </x:c>
      <x:c r="D19" s="20" t="n">
        <x:f>Layer_Input!D19</x:f>
        <x:v>0</x:v>
      </x:c>
      <x:c r="E19" s="20" t="n">
        <x:f>Layer_Input!E19</x:f>
        <x:v>0</x:v>
      </x:c>
      <x:c r="F19" s="20" t="n">
        <x:f>Layer_Input!F19</x:f>
        <x:v>0</x:v>
      </x:c>
      <x:c r="G19" s="20" t="n">
        <x:f>Layer_Input!G19</x:f>
        <x:v>0</x:v>
      </x:c>
      <x:c r="H19" s="20" t="n">
        <x:f>Layer_Input!H19</x:f>
        <x:v>0</x:v>
      </x:c>
      <x:c r="I19" s="20" t="n">
        <x:f>MAX(C19-B19,0)</x:f>
        <x:v>0</x:v>
      </x:c>
      <x:c r="J19" s="20" t="n">
        <x:f>MAX(IF(B19&lt;Pile_Input!$B$9,D19,D19-Pile_Input!$B$10),0)</x:f>
        <x:v>0</x:v>
      </x:c>
      <x:c r="K19" s="20" t="n">
        <x:f>J19*I19</x:f>
        <x:v>0</x:v>
      </x:c>
      <x:c r="L19" s="20" t="str">
        <x:f>IF(B19="","",SUM($K$2:K19))</x:f>
      </x:c>
      <x:c r="M19" s="20" t="str">
        <x:f>IF(B19="","",L19-K19/2)</x:f>
      </x:c>
      <x:c r="N19" s="20" t="n">
        <x:f>IF(ISNUMBER(H19),0.52*H19,"")</x:f>
        <x:v>0</x:v>
      </x:c>
      <x:c r="O19" s="20" t="n">
        <x:f>IF(E19="C",AVERAGE(G19,N19),0)</x:f>
        <x:v>0</x:v>
      </x:c>
      <x:c r="P19" s="20" t="n">
        <x:f>IF(E19="C",0.93*EXP(-0.0536*O19),0)</x:f>
        <x:v>0</x:v>
      </x:c>
      <x:c r="Q19" s="20" t="n">
        <x:f>IF(E19="S",0.77*LOG10(20*95.76/MAX(M19*9.81,0.0001)),0)</x:f>
        <x:v>0</x:v>
      </x:c>
      <x:c r="R19" s="20" t="n">
        <x:f>Q19*H19</x:f>
        <x:v>0</x:v>
      </x:c>
      <x:c r="S19" s="20" t="n">
        <x:f>IF(E19="S",27.1+0.3*R19-0.00054*R19^2,0)</x:f>
        <x:v>0</x:v>
      </x:c>
      <x:c r="T19" s="20" t="n">
        <x:f>IF(E19="S",1-SIN(RADIANS(S19)),0)</x:f>
        <x:v>0</x:v>
      </x:c>
      <x:c r="U19" s="20" t="n">
        <x:f>1.5*T19</x:f>
        <x:v>0</x:v>
      </x:c>
      <x:c r="V19" s="20" t="n">
        <x:f>0.85*T19</x:f>
        <x:v>0</x:v>
      </x:c>
      <x:c r="W19" s="20" t="n">
        <x:f>IF(Pile_Input!$B$5&gt;1.5,U19,V19)</x:f>
        <x:v>0</x:v>
      </x:c>
      <x:c r="X19" s="20" t="n">
        <x:f>0.75*S19</x:f>
        <x:v>0</x:v>
      </x:c>
      <x:c r="Y19" s="20" t="n">
        <x:f>IF(E19="S",W19*TAN(RADIANS(X19)),0)</x:f>
        <x:v>0</x:v>
      </x:c>
      <x:c r="Z19" s="20" t="n">
        <x:f>P19*O19</x:f>
        <x:v>0</x:v>
      </x:c>
      <x:c r="AA19" s="20" t="n">
        <x:f>Y19*M19</x:f>
        <x:v>0</x:v>
      </x:c>
      <x:c r="AB19" s="20" t="n">
        <x:f>IF(E19="C",Z19,IF(E19="S",AA19,0))</x:f>
        <x:v>0</x:v>
      </x:c>
      <x:c r="AC19" s="20" t="n">
        <x:f>IF(B19&lt;Pile_Input!$B$8,0,MAX(AB19,0))</x:f>
        <x:v>0</x:v>
      </x:c>
      <x:c r="AD19" s="20" t="n">
        <x:f>Pile_Input!$B$7*I19</x:f>
        <x:v>0</x:v>
      </x:c>
      <x:c r="AE19" s="20" t="n">
        <x:f>AC19*AD19</x:f>
        <x:v>0</x:v>
      </x:c>
      <x:c r="AF19" s="20" t="n">
        <x:f>SUM($AE$2:AE19)</x:f>
        <x:v>2.417753626718237</x:v>
      </x:c>
      <x:c r="AG19" s="20" t="n">
        <x:f>IF(E19="S",EXP(PI()*TAN(RADIANS(S19)))*TAN(RADIANS(45+S19/2))^2*(1+TAN(RADIANS(S19))),0)</x:f>
        <x:v>0</x:v>
      </x:c>
      <x:c r="AH19" s="20" t="n">
        <x:f>IF(E19="S",0.6934*EXP(0.0974*S19),0)</x:f>
        <x:v>0</x:v>
      </x:c>
      <x:c r="AI19" s="20" t="n">
        <x:f>IF(Pile_Input!$B$5&gt;1.5,AG19,AH19)</x:f>
        <x:v>0</x:v>
      </x:c>
      <x:c r="AJ19" s="20" t="n">
        <x:f>IF(E19="S",2*(AI19+1)*TAN(RADIANS(S19)),0)</x:f>
        <x:v>0</x:v>
      </x:c>
      <x:c r="AK19" s="20" t="n">
        <x:f>MIN(9*O19,Pile_Input!$B$12)</x:f>
        <x:v>0</x:v>
      </x:c>
      <x:c r="AL19" s="20" t="n">
        <x:f>MIN((AI19-1)*L19,Pile_Input!$B$12)</x:f>
        <x:v>0</x:v>
      </x:c>
      <x:c r="AM19" s="20" t="n">
        <x:f>IF(E19="C",AK19,IF(E19="S",AL19,0))</x:f>
        <x:v>0</x:v>
      </x:c>
      <x:c r="AN19" s="20" t="e">
        <x:f>AVERAGE(INDEX($AM:$AM,MAX(2,ROW()-1)):INDEX($AM:$AM,MIN(101,ROW()+2)))</x:f>
      </x:c>
      <x:c r="AO19" s="20" t="e">
        <x:f>AN19*Pile_Input!$B$7</x:f>
      </x:c>
      <x:c r="AP19" s="20" t="e">
        <x:f>AF19+AO19</x:f>
      </x:c>
      <x:c r="AQ19" s="20" t="e">
        <x:f>AP19/Pile_Input!$B$11</x:f>
      </x:c>
      <x:c r="AR19" s="20" t="n">
        <x:f>0.25*Pile_Input!$B$4*10</x:f>
        <x:v>875</x:v>
      </x:c>
      <x:c r="AS19" s="20" t="n">
        <x:f>Pile_Input!$B$7*AR19</x:f>
        <x:v>1649.3361431346414</x:v>
      </x:c>
    </x:row>
    <x:row r="20">
      <x:c r="A20" s="20" t="n">
        <x:f>Layer_Input!A20</x:f>
        <x:v>0</x:v>
      </x:c>
      <x:c r="B20" s="20" t="n">
        <x:f>Layer_Input!B20</x:f>
        <x:v>0</x:v>
      </x:c>
      <x:c r="C20" s="20" t="n">
        <x:f>Layer_Input!C20</x:f>
        <x:v>0</x:v>
      </x:c>
      <x:c r="D20" s="20" t="n">
        <x:f>Layer_Input!D20</x:f>
        <x:v>0</x:v>
      </x:c>
      <x:c r="E20" s="20" t="n">
        <x:f>Layer_Input!E20</x:f>
        <x:v>0</x:v>
      </x:c>
      <x:c r="F20" s="20" t="n">
        <x:f>Layer_Input!F20</x:f>
        <x:v>0</x:v>
      </x:c>
      <x:c r="G20" s="20" t="n">
        <x:f>Layer_Input!G20</x:f>
        <x:v>0</x:v>
      </x:c>
      <x:c r="H20" s="20" t="n">
        <x:f>Layer_Input!H20</x:f>
        <x:v>0</x:v>
      </x:c>
      <x:c r="I20" s="20" t="n">
        <x:f>MAX(C20-B20,0)</x:f>
        <x:v>0</x:v>
      </x:c>
      <x:c r="J20" s="20" t="n">
        <x:f>MAX(IF(B20&lt;Pile_Input!$B$9,D20,D20-Pile_Input!$B$10),0)</x:f>
        <x:v>0</x:v>
      </x:c>
      <x:c r="K20" s="20" t="n">
        <x:f>J20*I20</x:f>
        <x:v>0</x:v>
      </x:c>
      <x:c r="L20" s="20" t="str">
        <x:f>IF(B20="","",SUM($K$2:K20))</x:f>
      </x:c>
      <x:c r="M20" s="20" t="str">
        <x:f>IF(B20="","",L20-K20/2)</x:f>
      </x:c>
      <x:c r="N20" s="20" t="n">
        <x:f>IF(ISNUMBER(H20),0.52*H20,"")</x:f>
        <x:v>0</x:v>
      </x:c>
      <x:c r="O20" s="20" t="n">
        <x:f>IF(E20="C",AVERAGE(G20,N20),0)</x:f>
        <x:v>0</x:v>
      </x:c>
      <x:c r="P20" s="20" t="n">
        <x:f>IF(E20="C",0.93*EXP(-0.0536*O20),0)</x:f>
        <x:v>0</x:v>
      </x:c>
      <x:c r="Q20" s="20" t="n">
        <x:f>IF(E20="S",0.77*LOG10(20*95.76/MAX(M20*9.81,0.0001)),0)</x:f>
        <x:v>0</x:v>
      </x:c>
      <x:c r="R20" s="20" t="n">
        <x:f>Q20*H20</x:f>
        <x:v>0</x:v>
      </x:c>
      <x:c r="S20" s="20" t="n">
        <x:f>IF(E20="S",27.1+0.3*R20-0.00054*R20^2,0)</x:f>
        <x:v>0</x:v>
      </x:c>
      <x:c r="T20" s="20" t="n">
        <x:f>IF(E20="S",1-SIN(RADIANS(S20)),0)</x:f>
        <x:v>0</x:v>
      </x:c>
      <x:c r="U20" s="20" t="n">
        <x:f>1.5*T20</x:f>
        <x:v>0</x:v>
      </x:c>
      <x:c r="V20" s="20" t="n">
        <x:f>0.85*T20</x:f>
        <x:v>0</x:v>
      </x:c>
      <x:c r="W20" s="20" t="n">
        <x:f>IF(Pile_Input!$B$5&gt;1.5,U20,V20)</x:f>
        <x:v>0</x:v>
      </x:c>
      <x:c r="X20" s="20" t="n">
        <x:f>0.75*S20</x:f>
        <x:v>0</x:v>
      </x:c>
      <x:c r="Y20" s="20" t="n">
        <x:f>IF(E20="S",W20*TAN(RADIANS(X20)),0)</x:f>
        <x:v>0</x:v>
      </x:c>
      <x:c r="Z20" s="20" t="n">
        <x:f>P20*O20</x:f>
        <x:v>0</x:v>
      </x:c>
      <x:c r="AA20" s="20" t="n">
        <x:f>Y20*M20</x:f>
        <x:v>0</x:v>
      </x:c>
      <x:c r="AB20" s="20" t="n">
        <x:f>IF(E20="C",Z20,IF(E20="S",AA20,0))</x:f>
        <x:v>0</x:v>
      </x:c>
      <x:c r="AC20" s="20" t="n">
        <x:f>IF(B20&lt;Pile_Input!$B$8,0,MAX(AB20,0))</x:f>
        <x:v>0</x:v>
      </x:c>
      <x:c r="AD20" s="20" t="n">
        <x:f>Pile_Input!$B$7*I20</x:f>
        <x:v>0</x:v>
      </x:c>
      <x:c r="AE20" s="20" t="n">
        <x:f>AC20*AD20</x:f>
        <x:v>0</x:v>
      </x:c>
      <x:c r="AF20" s="20" t="n">
        <x:f>SUM($AE$2:AE20)</x:f>
        <x:v>2.417753626718237</x:v>
      </x:c>
      <x:c r="AG20" s="20" t="n">
        <x:f>IF(E20="S",EXP(PI()*TAN(RADIANS(S20)))*TAN(RADIANS(45+S20/2))^2*(1+TAN(RADIANS(S20))),0)</x:f>
        <x:v>0</x:v>
      </x:c>
      <x:c r="AH20" s="20" t="n">
        <x:f>IF(E20="S",0.6934*EXP(0.0974*S20),0)</x:f>
        <x:v>0</x:v>
      </x:c>
      <x:c r="AI20" s="20" t="n">
        <x:f>IF(Pile_Input!$B$5&gt;1.5,AG20,AH20)</x:f>
        <x:v>0</x:v>
      </x:c>
      <x:c r="AJ20" s="20" t="n">
        <x:f>IF(E20="S",2*(AI20+1)*TAN(RADIANS(S20)),0)</x:f>
        <x:v>0</x:v>
      </x:c>
      <x:c r="AK20" s="20" t="n">
        <x:f>MIN(9*O20,Pile_Input!$B$12)</x:f>
        <x:v>0</x:v>
      </x:c>
      <x:c r="AL20" s="20" t="n">
        <x:f>MIN((AI20-1)*L20,Pile_Input!$B$12)</x:f>
        <x:v>0</x:v>
      </x:c>
      <x:c r="AM20" s="20" t="n">
        <x:f>IF(E20="C",AK20,IF(E20="S",AL20,0))</x:f>
        <x:v>0</x:v>
      </x:c>
      <x:c r="AN20" s="20" t="e">
        <x:f>AVERAGE(INDEX($AM:$AM,MAX(2,ROW()-1)):INDEX($AM:$AM,MIN(101,ROW()+2)))</x:f>
      </x:c>
      <x:c r="AO20" s="20" t="e">
        <x:f>AN20*Pile_Input!$B$7</x:f>
      </x:c>
      <x:c r="AP20" s="20" t="e">
        <x:f>AF20+AO20</x:f>
      </x:c>
      <x:c r="AQ20" s="20" t="e">
        <x:f>AP20/Pile_Input!$B$11</x:f>
      </x:c>
      <x:c r="AR20" s="20" t="n">
        <x:f>0.25*Pile_Input!$B$4*10</x:f>
        <x:v>875</x:v>
      </x:c>
      <x:c r="AS20" s="20" t="n">
        <x:f>Pile_Input!$B$7*AR20</x:f>
        <x:v>1649.3361431346414</x:v>
      </x:c>
    </x:row>
    <x:row r="21">
      <x:c r="A21" s="20" t="n">
        <x:f>Layer_Input!A21</x:f>
        <x:v>0</x:v>
      </x:c>
      <x:c r="B21" s="20" t="n">
        <x:f>Layer_Input!B21</x:f>
        <x:v>0</x:v>
      </x:c>
      <x:c r="C21" s="20" t="n">
        <x:f>Layer_Input!C21</x:f>
        <x:v>0</x:v>
      </x:c>
      <x:c r="D21" s="20" t="n">
        <x:f>Layer_Input!D21</x:f>
        <x:v>0</x:v>
      </x:c>
      <x:c r="E21" s="20" t="n">
        <x:f>Layer_Input!E21</x:f>
        <x:v>0</x:v>
      </x:c>
      <x:c r="F21" s="20" t="n">
        <x:f>Layer_Input!F21</x:f>
        <x:v>0</x:v>
      </x:c>
      <x:c r="G21" s="20" t="n">
        <x:f>Layer_Input!G21</x:f>
        <x:v>0</x:v>
      </x:c>
      <x:c r="H21" s="20" t="n">
        <x:f>Layer_Input!H21</x:f>
        <x:v>0</x:v>
      </x:c>
      <x:c r="I21" s="20" t="n">
        <x:f>MAX(C21-B21,0)</x:f>
        <x:v>0</x:v>
      </x:c>
      <x:c r="J21" s="20" t="n">
        <x:f>MAX(IF(B21&lt;Pile_Input!$B$9,D21,D21-Pile_Input!$B$10),0)</x:f>
        <x:v>0</x:v>
      </x:c>
      <x:c r="K21" s="20" t="n">
        <x:f>J21*I21</x:f>
        <x:v>0</x:v>
      </x:c>
      <x:c r="L21" s="20" t="str">
        <x:f>IF(B21="","",SUM($K$2:K21))</x:f>
      </x:c>
      <x:c r="M21" s="20" t="str">
        <x:f>IF(B21="","",L21-K21/2)</x:f>
      </x:c>
      <x:c r="N21" s="20" t="n">
        <x:f>IF(ISNUMBER(H21),0.52*H21,"")</x:f>
        <x:v>0</x:v>
      </x:c>
      <x:c r="O21" s="20" t="n">
        <x:f>IF(E21="C",AVERAGE(G21,N21),0)</x:f>
        <x:v>0</x:v>
      </x:c>
      <x:c r="P21" s="20" t="n">
        <x:f>IF(E21="C",0.93*EXP(-0.0536*O21),0)</x:f>
        <x:v>0</x:v>
      </x:c>
      <x:c r="Q21" s="20" t="n">
        <x:f>IF(E21="S",0.77*LOG10(20*95.76/MAX(M21*9.81,0.0001)),0)</x:f>
        <x:v>0</x:v>
      </x:c>
      <x:c r="R21" s="20" t="n">
        <x:f>Q21*H21</x:f>
        <x:v>0</x:v>
      </x:c>
      <x:c r="S21" s="20" t="n">
        <x:f>IF(E21="S",27.1+0.3*R21-0.00054*R21^2,0)</x:f>
        <x:v>0</x:v>
      </x:c>
      <x:c r="T21" s="20" t="n">
        <x:f>IF(E21="S",1-SIN(RADIANS(S21)),0)</x:f>
        <x:v>0</x:v>
      </x:c>
      <x:c r="U21" s="20" t="n">
        <x:f>1.5*T21</x:f>
        <x:v>0</x:v>
      </x:c>
      <x:c r="V21" s="20" t="n">
        <x:f>0.85*T21</x:f>
        <x:v>0</x:v>
      </x:c>
      <x:c r="W21" s="20" t="n">
        <x:f>IF(Pile_Input!$B$5&gt;1.5,U21,V21)</x:f>
        <x:v>0</x:v>
      </x:c>
      <x:c r="X21" s="20" t="n">
        <x:f>0.75*S21</x:f>
        <x:v>0</x:v>
      </x:c>
      <x:c r="Y21" s="20" t="n">
        <x:f>IF(E21="S",W21*TAN(RADIANS(X21)),0)</x:f>
        <x:v>0</x:v>
      </x:c>
      <x:c r="Z21" s="20" t="n">
        <x:f>P21*O21</x:f>
        <x:v>0</x:v>
      </x:c>
      <x:c r="AA21" s="20" t="n">
        <x:f>Y21*M21</x:f>
        <x:v>0</x:v>
      </x:c>
      <x:c r="AB21" s="20" t="n">
        <x:f>IF(E21="C",Z21,IF(E21="S",AA21,0))</x:f>
        <x:v>0</x:v>
      </x:c>
      <x:c r="AC21" s="20" t="n">
        <x:f>IF(B21&lt;Pile_Input!$B$8,0,MAX(AB21,0))</x:f>
        <x:v>0</x:v>
      </x:c>
      <x:c r="AD21" s="20" t="n">
        <x:f>Pile_Input!$B$7*I21</x:f>
        <x:v>0</x:v>
      </x:c>
      <x:c r="AE21" s="20" t="n">
        <x:f>AC21*AD21</x:f>
        <x:v>0</x:v>
      </x:c>
      <x:c r="AF21" s="20" t="n">
        <x:f>SUM($AE$2:AE21)</x:f>
        <x:v>2.417753626718237</x:v>
      </x:c>
      <x:c r="AG21" s="20" t="n">
        <x:f>IF(E21="S",EXP(PI()*TAN(RADIANS(S21)))*TAN(RADIANS(45+S21/2))^2*(1+TAN(RADIANS(S21))),0)</x:f>
        <x:v>0</x:v>
      </x:c>
      <x:c r="AH21" s="20" t="n">
        <x:f>IF(E21="S",0.6934*EXP(0.0974*S21),0)</x:f>
        <x:v>0</x:v>
      </x:c>
      <x:c r="AI21" s="20" t="n">
        <x:f>IF(Pile_Input!$B$5&gt;1.5,AG21,AH21)</x:f>
        <x:v>0</x:v>
      </x:c>
      <x:c r="AJ21" s="20" t="n">
        <x:f>IF(E21="S",2*(AI21+1)*TAN(RADIANS(S21)),0)</x:f>
        <x:v>0</x:v>
      </x:c>
      <x:c r="AK21" s="20" t="n">
        <x:f>MIN(9*O21,Pile_Input!$B$12)</x:f>
        <x:v>0</x:v>
      </x:c>
      <x:c r="AL21" s="20" t="n">
        <x:f>MIN((AI21-1)*L21,Pile_Input!$B$12)</x:f>
        <x:v>0</x:v>
      </x:c>
      <x:c r="AM21" s="20" t="n">
        <x:f>IF(E21="C",AK21,IF(E21="S",AL21,0))</x:f>
        <x:v>0</x:v>
      </x:c>
      <x:c r="AN21" s="20" t="e">
        <x:f>AVERAGE(INDEX($AM:$AM,MAX(2,ROW()-1)):INDEX($AM:$AM,MIN(101,ROW()+2)))</x:f>
      </x:c>
      <x:c r="AO21" s="20" t="e">
        <x:f>AN21*Pile_Input!$B$7</x:f>
      </x:c>
      <x:c r="AP21" s="20" t="e">
        <x:f>AF21+AO21</x:f>
      </x:c>
      <x:c r="AQ21" s="20" t="e">
        <x:f>AP21/Pile_Input!$B$11</x:f>
      </x:c>
      <x:c r="AR21" s="20" t="n">
        <x:f>0.25*Pile_Input!$B$4*10</x:f>
        <x:v>875</x:v>
      </x:c>
      <x:c r="AS21" s="20" t="n">
        <x:f>Pile_Input!$B$7*AR21</x:f>
        <x:v>1649.3361431346414</x:v>
      </x:c>
    </x:row>
    <x:row r="22">
      <x:c r="A22" s="20" t="n">
        <x:f>Layer_Input!A22</x:f>
        <x:v>0</x:v>
      </x:c>
      <x:c r="B22" s="20" t="n">
        <x:f>Layer_Input!B22</x:f>
        <x:v>0</x:v>
      </x:c>
      <x:c r="C22" s="20" t="n">
        <x:f>Layer_Input!C22</x:f>
        <x:v>0</x:v>
      </x:c>
      <x:c r="D22" s="20" t="n">
        <x:f>Layer_Input!D22</x:f>
        <x:v>0</x:v>
      </x:c>
      <x:c r="E22" s="20" t="n">
        <x:f>Layer_Input!E22</x:f>
        <x:v>0</x:v>
      </x:c>
      <x:c r="F22" s="20" t="n">
        <x:f>Layer_Input!F22</x:f>
        <x:v>0</x:v>
      </x:c>
      <x:c r="G22" s="20" t="n">
        <x:f>Layer_Input!G22</x:f>
        <x:v>0</x:v>
      </x:c>
      <x:c r="H22" s="20" t="n">
        <x:f>Layer_Input!H22</x:f>
        <x:v>0</x:v>
      </x:c>
      <x:c r="I22" s="20" t="n">
        <x:f>MAX(C22-B22,0)</x:f>
        <x:v>0</x:v>
      </x:c>
      <x:c r="J22" s="20" t="n">
        <x:f>MAX(IF(B22&lt;Pile_Input!$B$9,D22,D22-Pile_Input!$B$10),0)</x:f>
        <x:v>0</x:v>
      </x:c>
      <x:c r="K22" s="20" t="n">
        <x:f>J22*I22</x:f>
        <x:v>0</x:v>
      </x:c>
      <x:c r="L22" s="20" t="str">
        <x:f>IF(B22="","",SUM($K$2:K22))</x:f>
      </x:c>
      <x:c r="M22" s="20" t="str">
        <x:f>IF(B22="","",L22-K22/2)</x:f>
      </x:c>
      <x:c r="N22" s="20" t="n">
        <x:f>IF(ISNUMBER(H22),0.52*H22,"")</x:f>
        <x:v>0</x:v>
      </x:c>
      <x:c r="O22" s="20" t="n">
        <x:f>IF(E22="C",AVERAGE(G22,N22),0)</x:f>
        <x:v>0</x:v>
      </x:c>
      <x:c r="P22" s="20" t="n">
        <x:f>IF(E22="C",0.93*EXP(-0.0536*O22),0)</x:f>
        <x:v>0</x:v>
      </x:c>
      <x:c r="Q22" s="20" t="n">
        <x:f>IF(E22="S",0.77*LOG10(20*95.76/MAX(M22*9.81,0.0001)),0)</x:f>
        <x:v>0</x:v>
      </x:c>
      <x:c r="R22" s="20" t="n">
        <x:f>Q22*H22</x:f>
        <x:v>0</x:v>
      </x:c>
      <x:c r="S22" s="20" t="n">
        <x:f>IF(E22="S",27.1+0.3*R22-0.00054*R22^2,0)</x:f>
        <x:v>0</x:v>
      </x:c>
      <x:c r="T22" s="20" t="n">
        <x:f>IF(E22="S",1-SIN(RADIANS(S22)),0)</x:f>
        <x:v>0</x:v>
      </x:c>
      <x:c r="U22" s="20" t="n">
        <x:f>1.5*T22</x:f>
        <x:v>0</x:v>
      </x:c>
      <x:c r="V22" s="20" t="n">
        <x:f>0.85*T22</x:f>
        <x:v>0</x:v>
      </x:c>
      <x:c r="W22" s="20" t="n">
        <x:f>IF(Pile_Input!$B$5&gt;1.5,U22,V22)</x:f>
        <x:v>0</x:v>
      </x:c>
      <x:c r="X22" s="20" t="n">
        <x:f>0.75*S22</x:f>
        <x:v>0</x:v>
      </x:c>
      <x:c r="Y22" s="20" t="n">
        <x:f>IF(E22="S",W22*TAN(RADIANS(X22)),0)</x:f>
        <x:v>0</x:v>
      </x:c>
      <x:c r="Z22" s="20" t="n">
        <x:f>P22*O22</x:f>
        <x:v>0</x:v>
      </x:c>
      <x:c r="AA22" s="20" t="n">
        <x:f>Y22*M22</x:f>
        <x:v>0</x:v>
      </x:c>
      <x:c r="AB22" s="20" t="n">
        <x:f>IF(E22="C",Z22,IF(E22="S",AA22,0))</x:f>
        <x:v>0</x:v>
      </x:c>
      <x:c r="AC22" s="20" t="n">
        <x:f>IF(B22&lt;Pile_Input!$B$8,0,MAX(AB22,0))</x:f>
        <x:v>0</x:v>
      </x:c>
      <x:c r="AD22" s="20" t="n">
        <x:f>Pile_Input!$B$7*I22</x:f>
        <x:v>0</x:v>
      </x:c>
      <x:c r="AE22" s="20" t="n">
        <x:f>AC22*AD22</x:f>
        <x:v>0</x:v>
      </x:c>
      <x:c r="AF22" s="20" t="n">
        <x:f>SUM($AE$2:AE22)</x:f>
        <x:v>2.417753626718237</x:v>
      </x:c>
      <x:c r="AG22" s="20" t="n">
        <x:f>IF(E22="S",EXP(PI()*TAN(RADIANS(S22)))*TAN(RADIANS(45+S22/2))^2*(1+TAN(RADIANS(S22))),0)</x:f>
        <x:v>0</x:v>
      </x:c>
      <x:c r="AH22" s="20" t="n">
        <x:f>IF(E22="S",0.6934*EXP(0.0974*S22),0)</x:f>
        <x:v>0</x:v>
      </x:c>
      <x:c r="AI22" s="20" t="n">
        <x:f>IF(Pile_Input!$B$5&gt;1.5,AG22,AH22)</x:f>
        <x:v>0</x:v>
      </x:c>
      <x:c r="AJ22" s="20" t="n">
        <x:f>IF(E22="S",2*(AI22+1)*TAN(RADIANS(S22)),0)</x:f>
        <x:v>0</x:v>
      </x:c>
      <x:c r="AK22" s="20" t="n">
        <x:f>MIN(9*O22,Pile_Input!$B$12)</x:f>
        <x:v>0</x:v>
      </x:c>
      <x:c r="AL22" s="20" t="n">
        <x:f>MIN((AI22-1)*L22,Pile_Input!$B$12)</x:f>
        <x:v>0</x:v>
      </x:c>
      <x:c r="AM22" s="20" t="n">
        <x:f>IF(E22="C",AK22,IF(E22="S",AL22,0))</x:f>
        <x:v>0</x:v>
      </x:c>
      <x:c r="AN22" s="20" t="e">
        <x:f>AVERAGE(INDEX($AM:$AM,MAX(2,ROW()-1)):INDEX($AM:$AM,MIN(101,ROW()+2)))</x:f>
      </x:c>
      <x:c r="AO22" s="20" t="e">
        <x:f>AN22*Pile_Input!$B$7</x:f>
      </x:c>
      <x:c r="AP22" s="20" t="e">
        <x:f>AF22+AO22</x:f>
      </x:c>
      <x:c r="AQ22" s="20" t="e">
        <x:f>AP22/Pile_Input!$B$11</x:f>
      </x:c>
      <x:c r="AR22" s="20" t="n">
        <x:f>0.25*Pile_Input!$B$4*10</x:f>
        <x:v>875</x:v>
      </x:c>
      <x:c r="AS22" s="20" t="n">
        <x:f>Pile_Input!$B$7*AR22</x:f>
        <x:v>1649.3361431346414</x:v>
      </x:c>
    </x:row>
    <x:row r="23">
      <x:c r="A23" s="20" t="n">
        <x:f>Layer_Input!A23</x:f>
        <x:v>0</x:v>
      </x:c>
      <x:c r="B23" s="20" t="n">
        <x:f>Layer_Input!B23</x:f>
        <x:v>0</x:v>
      </x:c>
      <x:c r="C23" s="20" t="n">
        <x:f>Layer_Input!C23</x:f>
        <x:v>0</x:v>
      </x:c>
      <x:c r="D23" s="20" t="n">
        <x:f>Layer_Input!D23</x:f>
        <x:v>0</x:v>
      </x:c>
      <x:c r="E23" s="20" t="n">
        <x:f>Layer_Input!E23</x:f>
        <x:v>0</x:v>
      </x:c>
      <x:c r="F23" s="20" t="n">
        <x:f>Layer_Input!F23</x:f>
        <x:v>0</x:v>
      </x:c>
      <x:c r="G23" s="20" t="n">
        <x:f>Layer_Input!G23</x:f>
        <x:v>0</x:v>
      </x:c>
      <x:c r="H23" s="20" t="n">
        <x:f>Layer_Input!H23</x:f>
        <x:v>0</x:v>
      </x:c>
      <x:c r="I23" s="20" t="n">
        <x:f>MAX(C23-B23,0)</x:f>
        <x:v>0</x:v>
      </x:c>
      <x:c r="J23" s="20" t="n">
        <x:f>MAX(IF(B23&lt;Pile_Input!$B$9,D23,D23-Pile_Input!$B$10),0)</x:f>
        <x:v>0</x:v>
      </x:c>
      <x:c r="K23" s="20" t="n">
        <x:f>J23*I23</x:f>
        <x:v>0</x:v>
      </x:c>
      <x:c r="L23" s="20" t="str">
        <x:f>IF(B23="","",SUM($K$2:K23))</x:f>
      </x:c>
      <x:c r="M23" s="20" t="str">
        <x:f>IF(B23="","",L23-K23/2)</x:f>
      </x:c>
      <x:c r="N23" s="20" t="n">
        <x:f>IF(ISNUMBER(H23),0.52*H23,"")</x:f>
        <x:v>0</x:v>
      </x:c>
      <x:c r="O23" s="20" t="n">
        <x:f>IF(E23="C",AVERAGE(G23,N23),0)</x:f>
        <x:v>0</x:v>
      </x:c>
      <x:c r="P23" s="20" t="n">
        <x:f>IF(E23="C",0.93*EXP(-0.0536*O23),0)</x:f>
        <x:v>0</x:v>
      </x:c>
      <x:c r="Q23" s="20" t="n">
        <x:f>IF(E23="S",0.77*LOG10(20*95.76/MAX(M23*9.81,0.0001)),0)</x:f>
        <x:v>0</x:v>
      </x:c>
      <x:c r="R23" s="20" t="n">
        <x:f>Q23*H23</x:f>
        <x:v>0</x:v>
      </x:c>
      <x:c r="S23" s="20" t="n">
        <x:f>IF(E23="S",27.1+0.3*R23-0.00054*R23^2,0)</x:f>
        <x:v>0</x:v>
      </x:c>
      <x:c r="T23" s="20" t="n">
        <x:f>IF(E23="S",1-SIN(RADIANS(S23)),0)</x:f>
        <x:v>0</x:v>
      </x:c>
      <x:c r="U23" s="20" t="n">
        <x:f>1.5*T23</x:f>
        <x:v>0</x:v>
      </x:c>
      <x:c r="V23" s="20" t="n">
        <x:f>0.85*T23</x:f>
        <x:v>0</x:v>
      </x:c>
      <x:c r="W23" s="20" t="n">
        <x:f>IF(Pile_Input!$B$5&gt;1.5,U23,V23)</x:f>
        <x:v>0</x:v>
      </x:c>
      <x:c r="X23" s="20" t="n">
        <x:f>0.75*S23</x:f>
        <x:v>0</x:v>
      </x:c>
      <x:c r="Y23" s="20" t="n">
        <x:f>IF(E23="S",W23*TAN(RADIANS(X23)),0)</x:f>
        <x:v>0</x:v>
      </x:c>
      <x:c r="Z23" s="20" t="n">
        <x:f>P23*O23</x:f>
        <x:v>0</x:v>
      </x:c>
      <x:c r="AA23" s="20" t="n">
        <x:f>Y23*M23</x:f>
        <x:v>0</x:v>
      </x:c>
      <x:c r="AB23" s="20" t="n">
        <x:f>IF(E23="C",Z23,IF(E23="S",AA23,0))</x:f>
        <x:v>0</x:v>
      </x:c>
      <x:c r="AC23" s="20" t="n">
        <x:f>IF(B23&lt;Pile_Input!$B$8,0,MAX(AB23,0))</x:f>
        <x:v>0</x:v>
      </x:c>
      <x:c r="AD23" s="20" t="n">
        <x:f>Pile_Input!$B$7*I23</x:f>
        <x:v>0</x:v>
      </x:c>
      <x:c r="AE23" s="20" t="n">
        <x:f>AC23*AD23</x:f>
        <x:v>0</x:v>
      </x:c>
      <x:c r="AF23" s="20" t="n">
        <x:f>SUM($AE$2:AE23)</x:f>
        <x:v>2.417753626718237</x:v>
      </x:c>
      <x:c r="AG23" s="20" t="n">
        <x:f>IF(E23="S",EXP(PI()*TAN(RADIANS(S23)))*TAN(RADIANS(45+S23/2))^2*(1+TAN(RADIANS(S23))),0)</x:f>
        <x:v>0</x:v>
      </x:c>
      <x:c r="AH23" s="20" t="n">
        <x:f>IF(E23="S",0.6934*EXP(0.0974*S23),0)</x:f>
        <x:v>0</x:v>
      </x:c>
      <x:c r="AI23" s="20" t="n">
        <x:f>IF(Pile_Input!$B$5&gt;1.5,AG23,AH23)</x:f>
        <x:v>0</x:v>
      </x:c>
      <x:c r="AJ23" s="20" t="n">
        <x:f>IF(E23="S",2*(AI23+1)*TAN(RADIANS(S23)),0)</x:f>
        <x:v>0</x:v>
      </x:c>
      <x:c r="AK23" s="20" t="n">
        <x:f>MIN(9*O23,Pile_Input!$B$12)</x:f>
        <x:v>0</x:v>
      </x:c>
      <x:c r="AL23" s="20" t="n">
        <x:f>MIN((AI23-1)*L23,Pile_Input!$B$12)</x:f>
        <x:v>0</x:v>
      </x:c>
      <x:c r="AM23" s="20" t="n">
        <x:f>IF(E23="C",AK23,IF(E23="S",AL23,0))</x:f>
        <x:v>0</x:v>
      </x:c>
      <x:c r="AN23" s="20" t="e">
        <x:f>AVERAGE(INDEX($AM:$AM,MAX(2,ROW()-1)):INDEX($AM:$AM,MIN(101,ROW()+2)))</x:f>
      </x:c>
      <x:c r="AO23" s="20" t="e">
        <x:f>AN23*Pile_Input!$B$7</x:f>
      </x:c>
      <x:c r="AP23" s="20" t="e">
        <x:f>AF23+AO23</x:f>
      </x:c>
      <x:c r="AQ23" s="20" t="e">
        <x:f>AP23/Pile_Input!$B$11</x:f>
      </x:c>
      <x:c r="AR23" s="20" t="n">
        <x:f>0.25*Pile_Input!$B$4*10</x:f>
        <x:v>875</x:v>
      </x:c>
      <x:c r="AS23" s="20" t="n">
        <x:f>Pile_Input!$B$7*AR23</x:f>
        <x:v>1649.3361431346414</x:v>
      </x:c>
    </x:row>
    <x:row r="24">
      <x:c r="A24" s="20" t="n">
        <x:f>Layer_Input!A24</x:f>
        <x:v>0</x:v>
      </x:c>
      <x:c r="B24" s="20" t="n">
        <x:f>Layer_Input!B24</x:f>
        <x:v>0</x:v>
      </x:c>
      <x:c r="C24" s="20" t="n">
        <x:f>Layer_Input!C24</x:f>
        <x:v>0</x:v>
      </x:c>
      <x:c r="D24" s="20" t="n">
        <x:f>Layer_Input!D24</x:f>
        <x:v>0</x:v>
      </x:c>
      <x:c r="E24" s="20" t="n">
        <x:f>Layer_Input!E24</x:f>
        <x:v>0</x:v>
      </x:c>
      <x:c r="F24" s="20" t="n">
        <x:f>Layer_Input!F24</x:f>
        <x:v>0</x:v>
      </x:c>
      <x:c r="G24" s="20" t="n">
        <x:f>Layer_Input!G24</x:f>
        <x:v>0</x:v>
      </x:c>
      <x:c r="H24" s="20" t="n">
        <x:f>Layer_Input!H24</x:f>
        <x:v>0</x:v>
      </x:c>
      <x:c r="I24" s="20" t="n">
        <x:f>MAX(C24-B24,0)</x:f>
        <x:v>0</x:v>
      </x:c>
      <x:c r="J24" s="20" t="n">
        <x:f>MAX(IF(B24&lt;Pile_Input!$B$9,D24,D24-Pile_Input!$B$10),0)</x:f>
        <x:v>0</x:v>
      </x:c>
      <x:c r="K24" s="20" t="n">
        <x:f>J24*I24</x:f>
        <x:v>0</x:v>
      </x:c>
      <x:c r="L24" s="20" t="str">
        <x:f>IF(B24="","",SUM($K$2:K24))</x:f>
      </x:c>
      <x:c r="M24" s="20" t="str">
        <x:f>IF(B24="","",L24-K24/2)</x:f>
      </x:c>
      <x:c r="N24" s="20" t="n">
        <x:f>IF(ISNUMBER(H24),0.52*H24,"")</x:f>
        <x:v>0</x:v>
      </x:c>
      <x:c r="O24" s="20" t="n">
        <x:f>IF(E24="C",AVERAGE(G24,N24),0)</x:f>
        <x:v>0</x:v>
      </x:c>
      <x:c r="P24" s="20" t="n">
        <x:f>IF(E24="C",0.93*EXP(-0.0536*O24),0)</x:f>
        <x:v>0</x:v>
      </x:c>
      <x:c r="Q24" s="20" t="n">
        <x:f>IF(E24="S",0.77*LOG10(20*95.76/MAX(M24*9.81,0.0001)),0)</x:f>
        <x:v>0</x:v>
      </x:c>
      <x:c r="R24" s="20" t="n">
        <x:f>Q24*H24</x:f>
        <x:v>0</x:v>
      </x:c>
      <x:c r="S24" s="20" t="n">
        <x:f>IF(E24="S",27.1+0.3*R24-0.00054*R24^2,0)</x:f>
        <x:v>0</x:v>
      </x:c>
      <x:c r="T24" s="20" t="n">
        <x:f>IF(E24="S",1-SIN(RADIANS(S24)),0)</x:f>
        <x:v>0</x:v>
      </x:c>
      <x:c r="U24" s="20" t="n">
        <x:f>1.5*T24</x:f>
        <x:v>0</x:v>
      </x:c>
      <x:c r="V24" s="20" t="n">
        <x:f>0.85*T24</x:f>
        <x:v>0</x:v>
      </x:c>
      <x:c r="W24" s="20" t="n">
        <x:f>IF(Pile_Input!$B$5&gt;1.5,U24,V24)</x:f>
        <x:v>0</x:v>
      </x:c>
      <x:c r="X24" s="20" t="n">
        <x:f>0.75*S24</x:f>
        <x:v>0</x:v>
      </x:c>
      <x:c r="Y24" s="20" t="n">
        <x:f>IF(E24="S",W24*TAN(RADIANS(X24)),0)</x:f>
        <x:v>0</x:v>
      </x:c>
      <x:c r="Z24" s="20" t="n">
        <x:f>P24*O24</x:f>
        <x:v>0</x:v>
      </x:c>
      <x:c r="AA24" s="20" t="n">
        <x:f>Y24*M24</x:f>
        <x:v>0</x:v>
      </x:c>
      <x:c r="AB24" s="20" t="n">
        <x:f>IF(E24="C",Z24,IF(E24="S",AA24,0))</x:f>
        <x:v>0</x:v>
      </x:c>
      <x:c r="AC24" s="20" t="n">
        <x:f>IF(B24&lt;Pile_Input!$B$8,0,MAX(AB24,0))</x:f>
        <x:v>0</x:v>
      </x:c>
      <x:c r="AD24" s="20" t="n">
        <x:f>Pile_Input!$B$7*I24</x:f>
        <x:v>0</x:v>
      </x:c>
      <x:c r="AE24" s="20" t="n">
        <x:f>AC24*AD24</x:f>
        <x:v>0</x:v>
      </x:c>
      <x:c r="AF24" s="20" t="n">
        <x:f>SUM($AE$2:AE24)</x:f>
        <x:v>2.417753626718237</x:v>
      </x:c>
      <x:c r="AG24" s="20" t="n">
        <x:f>IF(E24="S",EXP(PI()*TAN(RADIANS(S24)))*TAN(RADIANS(45+S24/2))^2*(1+TAN(RADIANS(S24))),0)</x:f>
        <x:v>0</x:v>
      </x:c>
      <x:c r="AH24" s="20" t="n">
        <x:f>IF(E24="S",0.6934*EXP(0.0974*S24),0)</x:f>
        <x:v>0</x:v>
      </x:c>
      <x:c r="AI24" s="20" t="n">
        <x:f>IF(Pile_Input!$B$5&gt;1.5,AG24,AH24)</x:f>
        <x:v>0</x:v>
      </x:c>
      <x:c r="AJ24" s="20" t="n">
        <x:f>IF(E24="S",2*(AI24+1)*TAN(RADIANS(S24)),0)</x:f>
        <x:v>0</x:v>
      </x:c>
      <x:c r="AK24" s="20" t="n">
        <x:f>MIN(9*O24,Pile_Input!$B$12)</x:f>
        <x:v>0</x:v>
      </x:c>
      <x:c r="AL24" s="20" t="n">
        <x:f>MIN((AI24-1)*L24,Pile_Input!$B$12)</x:f>
        <x:v>0</x:v>
      </x:c>
      <x:c r="AM24" s="20" t="n">
        <x:f>IF(E24="C",AK24,IF(E24="S",AL24,0))</x:f>
        <x:v>0</x:v>
      </x:c>
      <x:c r="AN24" s="20" t="e">
        <x:f>AVERAGE(INDEX($AM:$AM,MAX(2,ROW()-1)):INDEX($AM:$AM,MIN(101,ROW()+2)))</x:f>
      </x:c>
      <x:c r="AO24" s="20" t="e">
        <x:f>AN24*Pile_Input!$B$7</x:f>
      </x:c>
      <x:c r="AP24" s="20" t="e">
        <x:f>AF24+AO24</x:f>
      </x:c>
      <x:c r="AQ24" s="20" t="e">
        <x:f>AP24/Pile_Input!$B$11</x:f>
      </x:c>
      <x:c r="AR24" s="20" t="n">
        <x:f>0.25*Pile_Input!$B$4*10</x:f>
        <x:v>875</x:v>
      </x:c>
      <x:c r="AS24" s="20" t="n">
        <x:f>Pile_Input!$B$7*AR24</x:f>
        <x:v>1649.3361431346414</x:v>
      </x:c>
    </x:row>
    <x:row r="25">
      <x:c r="A25" s="20" t="n">
        <x:f>Layer_Input!A25</x:f>
        <x:v>0</x:v>
      </x:c>
      <x:c r="B25" s="20" t="n">
        <x:f>Layer_Input!B25</x:f>
        <x:v>0</x:v>
      </x:c>
      <x:c r="C25" s="20" t="n">
        <x:f>Layer_Input!C25</x:f>
        <x:v>0</x:v>
      </x:c>
      <x:c r="D25" s="20" t="n">
        <x:f>Layer_Input!D25</x:f>
        <x:v>0</x:v>
      </x:c>
      <x:c r="E25" s="20" t="n">
        <x:f>Layer_Input!E25</x:f>
        <x:v>0</x:v>
      </x:c>
      <x:c r="F25" s="20" t="n">
        <x:f>Layer_Input!F25</x:f>
        <x:v>0</x:v>
      </x:c>
      <x:c r="G25" s="20" t="n">
        <x:f>Layer_Input!G25</x:f>
        <x:v>0</x:v>
      </x:c>
      <x:c r="H25" s="20" t="n">
        <x:f>Layer_Input!H25</x:f>
        <x:v>0</x:v>
      </x:c>
      <x:c r="I25" s="20" t="n">
        <x:f>MAX(C25-B25,0)</x:f>
        <x:v>0</x:v>
      </x:c>
      <x:c r="J25" s="20" t="n">
        <x:f>MAX(IF(B25&lt;Pile_Input!$B$9,D25,D25-Pile_Input!$B$10),0)</x:f>
        <x:v>0</x:v>
      </x:c>
      <x:c r="K25" s="20" t="n">
        <x:f>J25*I25</x:f>
        <x:v>0</x:v>
      </x:c>
      <x:c r="L25" s="20" t="str">
        <x:f>IF(B25="","",SUM($K$2:K25))</x:f>
      </x:c>
      <x:c r="M25" s="20" t="str">
        <x:f>IF(B25="","",L25-K25/2)</x:f>
      </x:c>
      <x:c r="N25" s="20" t="n">
        <x:f>IF(ISNUMBER(H25),0.52*H25,"")</x:f>
        <x:v>0</x:v>
      </x:c>
      <x:c r="O25" s="20" t="n">
        <x:f>IF(E25="C",AVERAGE(G25,N25),0)</x:f>
        <x:v>0</x:v>
      </x:c>
      <x:c r="P25" s="20" t="n">
        <x:f>IF(E25="C",0.93*EXP(-0.0536*O25),0)</x:f>
        <x:v>0</x:v>
      </x:c>
      <x:c r="Q25" s="20" t="n">
        <x:f>IF(E25="S",0.77*LOG10(20*95.76/MAX(M25*9.81,0.0001)),0)</x:f>
        <x:v>0</x:v>
      </x:c>
      <x:c r="R25" s="20" t="n">
        <x:f>Q25*H25</x:f>
        <x:v>0</x:v>
      </x:c>
      <x:c r="S25" s="20" t="n">
        <x:f>IF(E25="S",27.1+0.3*R25-0.00054*R25^2,0)</x:f>
        <x:v>0</x:v>
      </x:c>
      <x:c r="T25" s="20" t="n">
        <x:f>IF(E25="S",1-SIN(RADIANS(S25)),0)</x:f>
        <x:v>0</x:v>
      </x:c>
      <x:c r="U25" s="20" t="n">
        <x:f>1.5*T25</x:f>
        <x:v>0</x:v>
      </x:c>
      <x:c r="V25" s="20" t="n">
        <x:f>0.85*T25</x:f>
        <x:v>0</x:v>
      </x:c>
      <x:c r="W25" s="20" t="n">
        <x:f>IF(Pile_Input!$B$5&gt;1.5,U25,V25)</x:f>
        <x:v>0</x:v>
      </x:c>
      <x:c r="X25" s="20" t="n">
        <x:f>0.75*S25</x:f>
        <x:v>0</x:v>
      </x:c>
      <x:c r="Y25" s="20" t="n">
        <x:f>IF(E25="S",W25*TAN(RADIANS(X25)),0)</x:f>
        <x:v>0</x:v>
      </x:c>
      <x:c r="Z25" s="20" t="n">
        <x:f>P25*O25</x:f>
        <x:v>0</x:v>
      </x:c>
      <x:c r="AA25" s="20" t="n">
        <x:f>Y25*M25</x:f>
        <x:v>0</x:v>
      </x:c>
      <x:c r="AB25" s="20" t="n">
        <x:f>IF(E25="C",Z25,IF(E25="S",AA25,0))</x:f>
        <x:v>0</x:v>
      </x:c>
      <x:c r="AC25" s="20" t="n">
        <x:f>IF(B25&lt;Pile_Input!$B$8,0,MAX(AB25,0))</x:f>
        <x:v>0</x:v>
      </x:c>
      <x:c r="AD25" s="20" t="n">
        <x:f>Pile_Input!$B$7*I25</x:f>
        <x:v>0</x:v>
      </x:c>
      <x:c r="AE25" s="20" t="n">
        <x:f>AC25*AD25</x:f>
        <x:v>0</x:v>
      </x:c>
      <x:c r="AF25" s="20" t="n">
        <x:f>SUM($AE$2:AE25)</x:f>
        <x:v>2.417753626718237</x:v>
      </x:c>
      <x:c r="AG25" s="20" t="n">
        <x:f>IF(E25="S",EXP(PI()*TAN(RADIANS(S25)))*TAN(RADIANS(45+S25/2))^2*(1+TAN(RADIANS(S25))),0)</x:f>
        <x:v>0</x:v>
      </x:c>
      <x:c r="AH25" s="20" t="n">
        <x:f>IF(E25="S",0.6934*EXP(0.0974*S25),0)</x:f>
        <x:v>0</x:v>
      </x:c>
      <x:c r="AI25" s="20" t="n">
        <x:f>IF(Pile_Input!$B$5&gt;1.5,AG25,AH25)</x:f>
        <x:v>0</x:v>
      </x:c>
      <x:c r="AJ25" s="20" t="n">
        <x:f>IF(E25="S",2*(AI25+1)*TAN(RADIANS(S25)),0)</x:f>
        <x:v>0</x:v>
      </x:c>
      <x:c r="AK25" s="20" t="n">
        <x:f>MIN(9*O25,Pile_Input!$B$12)</x:f>
        <x:v>0</x:v>
      </x:c>
      <x:c r="AL25" s="20" t="n">
        <x:f>MIN((AI25-1)*L25,Pile_Input!$B$12)</x:f>
        <x:v>0</x:v>
      </x:c>
      <x:c r="AM25" s="20" t="n">
        <x:f>IF(E25="C",AK25,IF(E25="S",AL25,0))</x:f>
        <x:v>0</x:v>
      </x:c>
      <x:c r="AN25" s="20" t="e">
        <x:f>AVERAGE(INDEX($AM:$AM,MAX(2,ROW()-1)):INDEX($AM:$AM,MIN(101,ROW()+2)))</x:f>
      </x:c>
      <x:c r="AO25" s="20" t="e">
        <x:f>AN25*Pile_Input!$B$7</x:f>
      </x:c>
      <x:c r="AP25" s="20" t="e">
        <x:f>AF25+AO25</x:f>
      </x:c>
      <x:c r="AQ25" s="20" t="e">
        <x:f>AP25/Pile_Input!$B$11</x:f>
      </x:c>
      <x:c r="AR25" s="20" t="n">
        <x:f>0.25*Pile_Input!$B$4*10</x:f>
        <x:v>875</x:v>
      </x:c>
      <x:c r="AS25" s="20" t="n">
        <x:f>Pile_Input!$B$7*AR25</x:f>
        <x:v>1649.3361431346414</x:v>
      </x:c>
    </x:row>
    <x:row r="26">
      <x:c r="A26" s="20" t="n">
        <x:f>Layer_Input!A26</x:f>
        <x:v>0</x:v>
      </x:c>
      <x:c r="B26" s="20" t="n">
        <x:f>Layer_Input!B26</x:f>
        <x:v>0</x:v>
      </x:c>
      <x:c r="C26" s="20" t="n">
        <x:f>Layer_Input!C26</x:f>
        <x:v>0</x:v>
      </x:c>
      <x:c r="D26" s="20" t="n">
        <x:f>Layer_Input!D26</x:f>
        <x:v>0</x:v>
      </x:c>
      <x:c r="E26" s="20" t="n">
        <x:f>Layer_Input!E26</x:f>
        <x:v>0</x:v>
      </x:c>
      <x:c r="F26" s="20" t="n">
        <x:f>Layer_Input!F26</x:f>
        <x:v>0</x:v>
      </x:c>
      <x:c r="G26" s="20" t="n">
        <x:f>Layer_Input!G26</x:f>
        <x:v>0</x:v>
      </x:c>
      <x:c r="H26" s="20" t="n">
        <x:f>Layer_Input!H26</x:f>
        <x:v>0</x:v>
      </x:c>
      <x:c r="I26" s="20" t="n">
        <x:f>MAX(C26-B26,0)</x:f>
        <x:v>0</x:v>
      </x:c>
      <x:c r="J26" s="20" t="n">
        <x:f>MAX(IF(B26&lt;Pile_Input!$B$9,D26,D26-Pile_Input!$B$10),0)</x:f>
        <x:v>0</x:v>
      </x:c>
      <x:c r="K26" s="20" t="n">
        <x:f>J26*I26</x:f>
        <x:v>0</x:v>
      </x:c>
      <x:c r="L26" s="20" t="str">
        <x:f>IF(B26="","",SUM($K$2:K26))</x:f>
      </x:c>
      <x:c r="M26" s="20" t="str">
        <x:f>IF(B26="","",L26-K26/2)</x:f>
      </x:c>
      <x:c r="N26" s="20" t="n">
        <x:f>IF(ISNUMBER(H26),0.52*H26,"")</x:f>
        <x:v>0</x:v>
      </x:c>
      <x:c r="O26" s="20" t="n">
        <x:f>IF(E26="C",AVERAGE(G26,N26),0)</x:f>
        <x:v>0</x:v>
      </x:c>
      <x:c r="P26" s="20" t="n">
        <x:f>IF(E26="C",0.93*EXP(-0.0536*O26),0)</x:f>
        <x:v>0</x:v>
      </x:c>
      <x:c r="Q26" s="20" t="n">
        <x:f>IF(E26="S",0.77*LOG10(20*95.76/MAX(M26*9.81,0.0001)),0)</x:f>
        <x:v>0</x:v>
      </x:c>
      <x:c r="R26" s="20" t="n">
        <x:f>Q26*H26</x:f>
        <x:v>0</x:v>
      </x:c>
      <x:c r="S26" s="20" t="n">
        <x:f>IF(E26="S",27.1+0.3*R26-0.00054*R26^2,0)</x:f>
        <x:v>0</x:v>
      </x:c>
      <x:c r="T26" s="20" t="n">
        <x:f>IF(E26="S",1-SIN(RADIANS(S26)),0)</x:f>
        <x:v>0</x:v>
      </x:c>
      <x:c r="U26" s="20" t="n">
        <x:f>1.5*T26</x:f>
        <x:v>0</x:v>
      </x:c>
      <x:c r="V26" s="20" t="n">
        <x:f>0.85*T26</x:f>
        <x:v>0</x:v>
      </x:c>
      <x:c r="W26" s="20" t="n">
        <x:f>IF(Pile_Input!$B$5&gt;1.5,U26,V26)</x:f>
        <x:v>0</x:v>
      </x:c>
      <x:c r="X26" s="20" t="n">
        <x:f>0.75*S26</x:f>
        <x:v>0</x:v>
      </x:c>
      <x:c r="Y26" s="20" t="n">
        <x:f>IF(E26="S",W26*TAN(RADIANS(X26)),0)</x:f>
        <x:v>0</x:v>
      </x:c>
      <x:c r="Z26" s="20" t="n">
        <x:f>P26*O26</x:f>
        <x:v>0</x:v>
      </x:c>
      <x:c r="AA26" s="20" t="n">
        <x:f>Y26*M26</x:f>
        <x:v>0</x:v>
      </x:c>
      <x:c r="AB26" s="20" t="n">
        <x:f>IF(E26="C",Z26,IF(E26="S",AA26,0))</x:f>
        <x:v>0</x:v>
      </x:c>
      <x:c r="AC26" s="20" t="n">
        <x:f>IF(B26&lt;Pile_Input!$B$8,0,MAX(AB26,0))</x:f>
        <x:v>0</x:v>
      </x:c>
      <x:c r="AD26" s="20" t="n">
        <x:f>Pile_Input!$B$7*I26</x:f>
        <x:v>0</x:v>
      </x:c>
      <x:c r="AE26" s="20" t="n">
        <x:f>AC26*AD26</x:f>
        <x:v>0</x:v>
      </x:c>
      <x:c r="AF26" s="20" t="n">
        <x:f>SUM($AE$2:AE26)</x:f>
        <x:v>2.417753626718237</x:v>
      </x:c>
      <x:c r="AG26" s="20" t="n">
        <x:f>IF(E26="S",EXP(PI()*TAN(RADIANS(S26)))*TAN(RADIANS(45+S26/2))^2*(1+TAN(RADIANS(S26))),0)</x:f>
        <x:v>0</x:v>
      </x:c>
      <x:c r="AH26" s="20" t="n">
        <x:f>IF(E26="S",0.6934*EXP(0.0974*S26),0)</x:f>
        <x:v>0</x:v>
      </x:c>
      <x:c r="AI26" s="20" t="n">
        <x:f>IF(Pile_Input!$B$5&gt;1.5,AG26,AH26)</x:f>
        <x:v>0</x:v>
      </x:c>
      <x:c r="AJ26" s="20" t="n">
        <x:f>IF(E26="S",2*(AI26+1)*TAN(RADIANS(S26)),0)</x:f>
        <x:v>0</x:v>
      </x:c>
      <x:c r="AK26" s="20" t="n">
        <x:f>MIN(9*O26,Pile_Input!$B$12)</x:f>
        <x:v>0</x:v>
      </x:c>
      <x:c r="AL26" s="20" t="n">
        <x:f>MIN((AI26-1)*L26,Pile_Input!$B$12)</x:f>
        <x:v>0</x:v>
      </x:c>
      <x:c r="AM26" s="20" t="n">
        <x:f>IF(E26="C",AK26,IF(E26="S",AL26,0))</x:f>
        <x:v>0</x:v>
      </x:c>
      <x:c r="AN26" s="20" t="e">
        <x:f>AVERAGE(INDEX($AM:$AM,MAX(2,ROW()-1)):INDEX($AM:$AM,MIN(101,ROW()+2)))</x:f>
      </x:c>
      <x:c r="AO26" s="20" t="e">
        <x:f>AN26*Pile_Input!$B$7</x:f>
      </x:c>
      <x:c r="AP26" s="20" t="e">
        <x:f>AF26+AO26</x:f>
      </x:c>
      <x:c r="AQ26" s="20" t="e">
        <x:f>AP26/Pile_Input!$B$11</x:f>
      </x:c>
      <x:c r="AR26" s="20" t="n">
        <x:f>0.25*Pile_Input!$B$4*10</x:f>
        <x:v>875</x:v>
      </x:c>
      <x:c r="AS26" s="20" t="n">
        <x:f>Pile_Input!$B$7*AR26</x:f>
        <x:v>1649.3361431346414</x:v>
      </x:c>
    </x:row>
    <x:row r="27">
      <x:c r="A27" s="20" t="n">
        <x:f>Layer_Input!A27</x:f>
        <x:v>0</x:v>
      </x:c>
      <x:c r="B27" s="20" t="n">
        <x:f>Layer_Input!B27</x:f>
        <x:v>0</x:v>
      </x:c>
      <x:c r="C27" s="20" t="n">
        <x:f>Layer_Input!C27</x:f>
        <x:v>0</x:v>
      </x:c>
      <x:c r="D27" s="20" t="n">
        <x:f>Layer_Input!D27</x:f>
        <x:v>0</x:v>
      </x:c>
      <x:c r="E27" s="20" t="n">
        <x:f>Layer_Input!E27</x:f>
        <x:v>0</x:v>
      </x:c>
      <x:c r="F27" s="20" t="n">
        <x:f>Layer_Input!F27</x:f>
        <x:v>0</x:v>
      </x:c>
      <x:c r="G27" s="20" t="n">
        <x:f>Layer_Input!G27</x:f>
        <x:v>0</x:v>
      </x:c>
      <x:c r="H27" s="20" t="n">
        <x:f>Layer_Input!H27</x:f>
        <x:v>0</x:v>
      </x:c>
      <x:c r="I27" s="20" t="n">
        <x:f>MAX(C27-B27,0)</x:f>
        <x:v>0</x:v>
      </x:c>
      <x:c r="J27" s="20" t="n">
        <x:f>MAX(IF(B27&lt;Pile_Input!$B$9,D27,D27-Pile_Input!$B$10),0)</x:f>
        <x:v>0</x:v>
      </x:c>
      <x:c r="K27" s="20" t="n">
        <x:f>J27*I27</x:f>
        <x:v>0</x:v>
      </x:c>
      <x:c r="L27" s="20" t="str">
        <x:f>IF(B27="","",SUM($K$2:K27))</x:f>
      </x:c>
      <x:c r="M27" s="20" t="str">
        <x:f>IF(B27="","",L27-K27/2)</x:f>
      </x:c>
      <x:c r="N27" s="20" t="n">
        <x:f>IF(ISNUMBER(H27),0.52*H27,"")</x:f>
        <x:v>0</x:v>
      </x:c>
      <x:c r="O27" s="20" t="n">
        <x:f>IF(E27="C",AVERAGE(G27,N27),0)</x:f>
        <x:v>0</x:v>
      </x:c>
      <x:c r="P27" s="20" t="n">
        <x:f>IF(E27="C",0.93*EXP(-0.0536*O27),0)</x:f>
        <x:v>0</x:v>
      </x:c>
      <x:c r="Q27" s="20" t="n">
        <x:f>IF(E27="S",0.77*LOG10(20*95.76/MAX(M27*9.81,0.0001)),0)</x:f>
        <x:v>0</x:v>
      </x:c>
      <x:c r="R27" s="20" t="n">
        <x:f>Q27*H27</x:f>
        <x:v>0</x:v>
      </x:c>
      <x:c r="S27" s="20" t="n">
        <x:f>IF(E27="S",27.1+0.3*R27-0.00054*R27^2,0)</x:f>
        <x:v>0</x:v>
      </x:c>
      <x:c r="T27" s="20" t="n">
        <x:f>IF(E27="S",1-SIN(RADIANS(S27)),0)</x:f>
        <x:v>0</x:v>
      </x:c>
      <x:c r="U27" s="20" t="n">
        <x:f>1.5*T27</x:f>
        <x:v>0</x:v>
      </x:c>
      <x:c r="V27" s="20" t="n">
        <x:f>0.85*T27</x:f>
        <x:v>0</x:v>
      </x:c>
      <x:c r="W27" s="20" t="n">
        <x:f>IF(Pile_Input!$B$5&gt;1.5,U27,V27)</x:f>
        <x:v>0</x:v>
      </x:c>
      <x:c r="X27" s="20" t="n">
        <x:f>0.75*S27</x:f>
        <x:v>0</x:v>
      </x:c>
      <x:c r="Y27" s="20" t="n">
        <x:f>IF(E27="S",W27*TAN(RADIANS(X27)),0)</x:f>
        <x:v>0</x:v>
      </x:c>
      <x:c r="Z27" s="20" t="n">
        <x:f>P27*O27</x:f>
        <x:v>0</x:v>
      </x:c>
      <x:c r="AA27" s="20" t="n">
        <x:f>Y27*M27</x:f>
        <x:v>0</x:v>
      </x:c>
      <x:c r="AB27" s="20" t="n">
        <x:f>IF(E27="C",Z27,IF(E27="S",AA27,0))</x:f>
        <x:v>0</x:v>
      </x:c>
      <x:c r="AC27" s="20" t="n">
        <x:f>IF(B27&lt;Pile_Input!$B$8,0,MAX(AB27,0))</x:f>
        <x:v>0</x:v>
      </x:c>
      <x:c r="AD27" s="20" t="n">
        <x:f>Pile_Input!$B$7*I27</x:f>
        <x:v>0</x:v>
      </x:c>
      <x:c r="AE27" s="20" t="n">
        <x:f>AC27*AD27</x:f>
        <x:v>0</x:v>
      </x:c>
      <x:c r="AF27" s="20" t="n">
        <x:f>SUM($AE$2:AE27)</x:f>
        <x:v>2.417753626718237</x:v>
      </x:c>
      <x:c r="AG27" s="20" t="n">
        <x:f>IF(E27="S",EXP(PI()*TAN(RADIANS(S27)))*TAN(RADIANS(45+S27/2))^2*(1+TAN(RADIANS(S27))),0)</x:f>
        <x:v>0</x:v>
      </x:c>
      <x:c r="AH27" s="20" t="n">
        <x:f>IF(E27="S",0.6934*EXP(0.0974*S27),0)</x:f>
        <x:v>0</x:v>
      </x:c>
      <x:c r="AI27" s="20" t="n">
        <x:f>IF(Pile_Input!$B$5&gt;1.5,AG27,AH27)</x:f>
        <x:v>0</x:v>
      </x:c>
      <x:c r="AJ27" s="20" t="n">
        <x:f>IF(E27="S",2*(AI27+1)*TAN(RADIANS(S27)),0)</x:f>
        <x:v>0</x:v>
      </x:c>
      <x:c r="AK27" s="20" t="n">
        <x:f>MIN(9*O27,Pile_Input!$B$12)</x:f>
        <x:v>0</x:v>
      </x:c>
      <x:c r="AL27" s="20" t="n">
        <x:f>MIN((AI27-1)*L27,Pile_Input!$B$12)</x:f>
        <x:v>0</x:v>
      </x:c>
      <x:c r="AM27" s="20" t="n">
        <x:f>IF(E27="C",AK27,IF(E27="S",AL27,0))</x:f>
        <x:v>0</x:v>
      </x:c>
      <x:c r="AN27" s="20" t="e">
        <x:f>AVERAGE(INDEX($AM:$AM,MAX(2,ROW()-1)):INDEX($AM:$AM,MIN(101,ROW()+2)))</x:f>
      </x:c>
      <x:c r="AO27" s="20" t="e">
        <x:f>AN27*Pile_Input!$B$7</x:f>
      </x:c>
      <x:c r="AP27" s="20" t="e">
        <x:f>AF27+AO27</x:f>
      </x:c>
      <x:c r="AQ27" s="20" t="e">
        <x:f>AP27/Pile_Input!$B$11</x:f>
      </x:c>
      <x:c r="AR27" s="20" t="n">
        <x:f>0.25*Pile_Input!$B$4*10</x:f>
        <x:v>875</x:v>
      </x:c>
      <x:c r="AS27" s="20" t="n">
        <x:f>Pile_Input!$B$7*AR27</x:f>
        <x:v>1649.3361431346414</x:v>
      </x:c>
    </x:row>
    <x:row r="28">
      <x:c r="A28" s="20" t="n">
        <x:f>Layer_Input!A28</x:f>
        <x:v>0</x:v>
      </x:c>
      <x:c r="B28" s="20" t="n">
        <x:f>Layer_Input!B28</x:f>
        <x:v>0</x:v>
      </x:c>
      <x:c r="C28" s="20" t="n">
        <x:f>Layer_Input!C28</x:f>
        <x:v>0</x:v>
      </x:c>
      <x:c r="D28" s="20" t="n">
        <x:f>Layer_Input!D28</x:f>
        <x:v>0</x:v>
      </x:c>
      <x:c r="E28" s="20" t="n">
        <x:f>Layer_Input!E28</x:f>
        <x:v>0</x:v>
      </x:c>
      <x:c r="F28" s="20" t="n">
        <x:f>Layer_Input!F28</x:f>
        <x:v>0</x:v>
      </x:c>
      <x:c r="G28" s="20" t="n">
        <x:f>Layer_Input!G28</x:f>
        <x:v>0</x:v>
      </x:c>
      <x:c r="H28" s="20" t="n">
        <x:f>Layer_Input!H28</x:f>
        <x:v>0</x:v>
      </x:c>
      <x:c r="I28" s="20" t="n">
        <x:f>MAX(C28-B28,0)</x:f>
        <x:v>0</x:v>
      </x:c>
      <x:c r="J28" s="20" t="n">
        <x:f>MAX(IF(B28&lt;Pile_Input!$B$9,D28,D28-Pile_Input!$B$10),0)</x:f>
        <x:v>0</x:v>
      </x:c>
      <x:c r="K28" s="20" t="n">
        <x:f>J28*I28</x:f>
        <x:v>0</x:v>
      </x:c>
      <x:c r="L28" s="20" t="str">
        <x:f>IF(B28="","",SUM($K$2:K28))</x:f>
      </x:c>
      <x:c r="M28" s="20" t="str">
        <x:f>IF(B28="","",L28-K28/2)</x:f>
      </x:c>
      <x:c r="N28" s="20" t="n">
        <x:f>IF(ISNUMBER(H28),0.52*H28,"")</x:f>
        <x:v>0</x:v>
      </x:c>
      <x:c r="O28" s="20" t="n">
        <x:f>IF(E28="C",AVERAGE(G28,N28),0)</x:f>
        <x:v>0</x:v>
      </x:c>
      <x:c r="P28" s="20" t="n">
        <x:f>IF(E28="C",0.93*EXP(-0.0536*O28),0)</x:f>
        <x:v>0</x:v>
      </x:c>
      <x:c r="Q28" s="20" t="n">
        <x:f>IF(E28="S",0.77*LOG10(20*95.76/MAX(M28*9.81,0.0001)),0)</x:f>
        <x:v>0</x:v>
      </x:c>
      <x:c r="R28" s="20" t="n">
        <x:f>Q28*H28</x:f>
        <x:v>0</x:v>
      </x:c>
      <x:c r="S28" s="20" t="n">
        <x:f>IF(E28="S",27.1+0.3*R28-0.00054*R28^2,0)</x:f>
        <x:v>0</x:v>
      </x:c>
      <x:c r="T28" s="20" t="n">
        <x:f>IF(E28="S",1-SIN(RADIANS(S28)),0)</x:f>
        <x:v>0</x:v>
      </x:c>
      <x:c r="U28" s="20" t="n">
        <x:f>1.5*T28</x:f>
        <x:v>0</x:v>
      </x:c>
      <x:c r="V28" s="20" t="n">
        <x:f>0.85*T28</x:f>
        <x:v>0</x:v>
      </x:c>
      <x:c r="W28" s="20" t="n">
        <x:f>IF(Pile_Input!$B$5&gt;1.5,U28,V28)</x:f>
        <x:v>0</x:v>
      </x:c>
      <x:c r="X28" s="20" t="n">
        <x:f>0.75*S28</x:f>
        <x:v>0</x:v>
      </x:c>
      <x:c r="Y28" s="20" t="n">
        <x:f>IF(E28="S",W28*TAN(RADIANS(X28)),0)</x:f>
        <x:v>0</x:v>
      </x:c>
      <x:c r="Z28" s="20" t="n">
        <x:f>P28*O28</x:f>
        <x:v>0</x:v>
      </x:c>
      <x:c r="AA28" s="20" t="n">
        <x:f>Y28*M28</x:f>
        <x:v>0</x:v>
      </x:c>
      <x:c r="AB28" s="20" t="n">
        <x:f>IF(E28="C",Z28,IF(E28="S",AA28,0))</x:f>
        <x:v>0</x:v>
      </x:c>
      <x:c r="AC28" s="20" t="n">
        <x:f>IF(B28&lt;Pile_Input!$B$8,0,MAX(AB28,0))</x:f>
        <x:v>0</x:v>
      </x:c>
      <x:c r="AD28" s="20" t="n">
        <x:f>Pile_Input!$B$7*I28</x:f>
        <x:v>0</x:v>
      </x:c>
      <x:c r="AE28" s="20" t="n">
        <x:f>AC28*AD28</x:f>
        <x:v>0</x:v>
      </x:c>
      <x:c r="AF28" s="20" t="n">
        <x:f>SUM($AE$2:AE28)</x:f>
        <x:v>2.417753626718237</x:v>
      </x:c>
      <x:c r="AG28" s="20" t="n">
        <x:f>IF(E28="S",EXP(PI()*TAN(RADIANS(S28)))*TAN(RADIANS(45+S28/2))^2*(1+TAN(RADIANS(S28))),0)</x:f>
        <x:v>0</x:v>
      </x:c>
      <x:c r="AH28" s="20" t="n">
        <x:f>IF(E28="S",0.6934*EXP(0.0974*S28),0)</x:f>
        <x:v>0</x:v>
      </x:c>
      <x:c r="AI28" s="20" t="n">
        <x:f>IF(Pile_Input!$B$5&gt;1.5,AG28,AH28)</x:f>
        <x:v>0</x:v>
      </x:c>
      <x:c r="AJ28" s="20" t="n">
        <x:f>IF(E28="S",2*(AI28+1)*TAN(RADIANS(S28)),0)</x:f>
        <x:v>0</x:v>
      </x:c>
      <x:c r="AK28" s="20" t="n">
        <x:f>MIN(9*O28,Pile_Input!$B$12)</x:f>
        <x:v>0</x:v>
      </x:c>
      <x:c r="AL28" s="20" t="n">
        <x:f>MIN((AI28-1)*L28,Pile_Input!$B$12)</x:f>
        <x:v>0</x:v>
      </x:c>
      <x:c r="AM28" s="20" t="n">
        <x:f>IF(E28="C",AK28,IF(E28="S",AL28,0))</x:f>
        <x:v>0</x:v>
      </x:c>
      <x:c r="AN28" s="20" t="e">
        <x:f>AVERAGE(INDEX($AM:$AM,MAX(2,ROW()-1)):INDEX($AM:$AM,MIN(101,ROW()+2)))</x:f>
      </x:c>
      <x:c r="AO28" s="20" t="e">
        <x:f>AN28*Pile_Input!$B$7</x:f>
      </x:c>
      <x:c r="AP28" s="20" t="e">
        <x:f>AF28+AO28</x:f>
      </x:c>
      <x:c r="AQ28" s="20" t="e">
        <x:f>AP28/Pile_Input!$B$11</x:f>
      </x:c>
      <x:c r="AR28" s="20" t="n">
        <x:f>0.25*Pile_Input!$B$4*10</x:f>
        <x:v>875</x:v>
      </x:c>
      <x:c r="AS28" s="20" t="n">
        <x:f>Pile_Input!$B$7*AR28</x:f>
        <x:v>1649.3361431346414</x:v>
      </x:c>
    </x:row>
    <x:row r="29">
      <x:c r="A29" s="20" t="n">
        <x:f>Layer_Input!A29</x:f>
        <x:v>0</x:v>
      </x:c>
      <x:c r="B29" s="20" t="n">
        <x:f>Layer_Input!B29</x:f>
        <x:v>0</x:v>
      </x:c>
      <x:c r="C29" s="20" t="n">
        <x:f>Layer_Input!C29</x:f>
        <x:v>0</x:v>
      </x:c>
      <x:c r="D29" s="20" t="n">
        <x:f>Layer_Input!D29</x:f>
        <x:v>0</x:v>
      </x:c>
      <x:c r="E29" s="20" t="n">
        <x:f>Layer_Input!E29</x:f>
        <x:v>0</x:v>
      </x:c>
      <x:c r="F29" s="20" t="n">
        <x:f>Layer_Input!F29</x:f>
        <x:v>0</x:v>
      </x:c>
      <x:c r="G29" s="20" t="n">
        <x:f>Layer_Input!G29</x:f>
        <x:v>0</x:v>
      </x:c>
      <x:c r="H29" s="20" t="n">
        <x:f>Layer_Input!H29</x:f>
        <x:v>0</x:v>
      </x:c>
      <x:c r="I29" s="20" t="n">
        <x:f>MAX(C29-B29,0)</x:f>
        <x:v>0</x:v>
      </x:c>
      <x:c r="J29" s="20" t="n">
        <x:f>MAX(IF(B29&lt;Pile_Input!$B$9,D29,D29-Pile_Input!$B$10),0)</x:f>
        <x:v>0</x:v>
      </x:c>
      <x:c r="K29" s="20" t="n">
        <x:f>J29*I29</x:f>
        <x:v>0</x:v>
      </x:c>
      <x:c r="L29" s="20" t="str">
        <x:f>IF(B29="","",SUM($K$2:K29))</x:f>
      </x:c>
      <x:c r="M29" s="20" t="str">
        <x:f>IF(B29="","",L29-K29/2)</x:f>
      </x:c>
      <x:c r="N29" s="20" t="n">
        <x:f>IF(ISNUMBER(H29),0.52*H29,"")</x:f>
        <x:v>0</x:v>
      </x:c>
      <x:c r="O29" s="20" t="n">
        <x:f>IF(E29="C",AVERAGE(G29,N29),0)</x:f>
        <x:v>0</x:v>
      </x:c>
      <x:c r="P29" s="20" t="n">
        <x:f>IF(E29="C",0.93*EXP(-0.0536*O29),0)</x:f>
        <x:v>0</x:v>
      </x:c>
      <x:c r="Q29" s="20" t="n">
        <x:f>IF(E29="S",0.77*LOG10(20*95.76/MAX(M29*9.81,0.0001)),0)</x:f>
        <x:v>0</x:v>
      </x:c>
      <x:c r="R29" s="20" t="n">
        <x:f>Q29*H29</x:f>
        <x:v>0</x:v>
      </x:c>
      <x:c r="S29" s="20" t="n">
        <x:f>IF(E29="S",27.1+0.3*R29-0.00054*R29^2,0)</x:f>
        <x:v>0</x:v>
      </x:c>
      <x:c r="T29" s="20" t="n">
        <x:f>IF(E29="S",1-SIN(RADIANS(S29)),0)</x:f>
        <x:v>0</x:v>
      </x:c>
      <x:c r="U29" s="20" t="n">
        <x:f>1.5*T29</x:f>
        <x:v>0</x:v>
      </x:c>
      <x:c r="V29" s="20" t="n">
        <x:f>0.85*T29</x:f>
        <x:v>0</x:v>
      </x:c>
      <x:c r="W29" s="20" t="n">
        <x:f>IF(Pile_Input!$B$5&gt;1.5,U29,V29)</x:f>
        <x:v>0</x:v>
      </x:c>
      <x:c r="X29" s="20" t="n">
        <x:f>0.75*S29</x:f>
        <x:v>0</x:v>
      </x:c>
      <x:c r="Y29" s="20" t="n">
        <x:f>IF(E29="S",W29*TAN(RADIANS(X29)),0)</x:f>
        <x:v>0</x:v>
      </x:c>
      <x:c r="Z29" s="20" t="n">
        <x:f>P29*O29</x:f>
        <x:v>0</x:v>
      </x:c>
      <x:c r="AA29" s="20" t="n">
        <x:f>Y29*M29</x:f>
        <x:v>0</x:v>
      </x:c>
      <x:c r="AB29" s="20" t="n">
        <x:f>IF(E29="C",Z29,IF(E29="S",AA29,0))</x:f>
        <x:v>0</x:v>
      </x:c>
      <x:c r="AC29" s="20" t="n">
        <x:f>IF(B29&lt;Pile_Input!$B$8,0,MAX(AB29,0))</x:f>
        <x:v>0</x:v>
      </x:c>
      <x:c r="AD29" s="20" t="n">
        <x:f>Pile_Input!$B$7*I29</x:f>
        <x:v>0</x:v>
      </x:c>
      <x:c r="AE29" s="20" t="n">
        <x:f>AC29*AD29</x:f>
        <x:v>0</x:v>
      </x:c>
      <x:c r="AF29" s="20" t="n">
        <x:f>SUM($AE$2:AE29)</x:f>
        <x:v>2.417753626718237</x:v>
      </x:c>
      <x:c r="AG29" s="20" t="n">
        <x:f>IF(E29="S",EXP(PI()*TAN(RADIANS(S29)))*TAN(RADIANS(45+S29/2))^2*(1+TAN(RADIANS(S29))),0)</x:f>
        <x:v>0</x:v>
      </x:c>
      <x:c r="AH29" s="20" t="n">
        <x:f>IF(E29="S",0.6934*EXP(0.0974*S29),0)</x:f>
        <x:v>0</x:v>
      </x:c>
      <x:c r="AI29" s="20" t="n">
        <x:f>IF(Pile_Input!$B$5&gt;1.5,AG29,AH29)</x:f>
        <x:v>0</x:v>
      </x:c>
      <x:c r="AJ29" s="20" t="n">
        <x:f>IF(E29="S",2*(AI29+1)*TAN(RADIANS(S29)),0)</x:f>
        <x:v>0</x:v>
      </x:c>
      <x:c r="AK29" s="20" t="n">
        <x:f>MIN(9*O29,Pile_Input!$B$12)</x:f>
        <x:v>0</x:v>
      </x:c>
      <x:c r="AL29" s="20" t="n">
        <x:f>MIN((AI29-1)*L29,Pile_Input!$B$12)</x:f>
        <x:v>0</x:v>
      </x:c>
      <x:c r="AM29" s="20" t="n">
        <x:f>IF(E29="C",AK29,IF(E29="S",AL29,0))</x:f>
        <x:v>0</x:v>
      </x:c>
      <x:c r="AN29" s="20" t="e">
        <x:f>AVERAGE(INDEX($AM:$AM,MAX(2,ROW()-1)):INDEX($AM:$AM,MIN(101,ROW()+2)))</x:f>
      </x:c>
      <x:c r="AO29" s="20" t="e">
        <x:f>AN29*Pile_Input!$B$7</x:f>
      </x:c>
      <x:c r="AP29" s="20" t="e">
        <x:f>AF29+AO29</x:f>
      </x:c>
      <x:c r="AQ29" s="20" t="e">
        <x:f>AP29/Pile_Input!$B$11</x:f>
      </x:c>
      <x:c r="AR29" s="20" t="n">
        <x:f>0.25*Pile_Input!$B$4*10</x:f>
        <x:v>875</x:v>
      </x:c>
      <x:c r="AS29" s="20" t="n">
        <x:f>Pile_Input!$B$7*AR29</x:f>
        <x:v>1649.3361431346414</x:v>
      </x:c>
    </x:row>
    <x:row r="30">
      <x:c r="A30" s="20" t="n">
        <x:f>Layer_Input!A30</x:f>
        <x:v>0</x:v>
      </x:c>
      <x:c r="B30" s="20" t="n">
        <x:f>Layer_Input!B30</x:f>
        <x:v>0</x:v>
      </x:c>
      <x:c r="C30" s="20" t="n">
        <x:f>Layer_Input!C30</x:f>
        <x:v>0</x:v>
      </x:c>
      <x:c r="D30" s="20" t="n">
        <x:f>Layer_Input!D30</x:f>
        <x:v>0</x:v>
      </x:c>
      <x:c r="E30" s="20" t="n">
        <x:f>Layer_Input!E30</x:f>
        <x:v>0</x:v>
      </x:c>
      <x:c r="F30" s="20" t="n">
        <x:f>Layer_Input!F30</x:f>
        <x:v>0</x:v>
      </x:c>
      <x:c r="G30" s="20" t="n">
        <x:f>Layer_Input!G30</x:f>
        <x:v>0</x:v>
      </x:c>
      <x:c r="H30" s="20" t="n">
        <x:f>Layer_Input!H30</x:f>
        <x:v>0</x:v>
      </x:c>
      <x:c r="I30" s="20" t="n">
        <x:f>MAX(C30-B30,0)</x:f>
        <x:v>0</x:v>
      </x:c>
      <x:c r="J30" s="20" t="n">
        <x:f>MAX(IF(B30&lt;Pile_Input!$B$9,D30,D30-Pile_Input!$B$10),0)</x:f>
        <x:v>0</x:v>
      </x:c>
      <x:c r="K30" s="20" t="n">
        <x:f>J30*I30</x:f>
        <x:v>0</x:v>
      </x:c>
      <x:c r="L30" s="20" t="str">
        <x:f>IF(B30="","",SUM($K$2:K30))</x:f>
      </x:c>
      <x:c r="M30" s="20" t="str">
        <x:f>IF(B30="","",L30-K30/2)</x:f>
      </x:c>
      <x:c r="N30" s="20" t="n">
        <x:f>IF(ISNUMBER(H30),0.52*H30,"")</x:f>
        <x:v>0</x:v>
      </x:c>
      <x:c r="O30" s="20" t="n">
        <x:f>IF(E30="C",AVERAGE(G30,N30),0)</x:f>
        <x:v>0</x:v>
      </x:c>
      <x:c r="P30" s="20" t="n">
        <x:f>IF(E30="C",0.93*EXP(-0.0536*O30),0)</x:f>
        <x:v>0</x:v>
      </x:c>
      <x:c r="Q30" s="20" t="n">
        <x:f>IF(E30="S",0.77*LOG10(20*95.76/MAX(M30*9.81,0.0001)),0)</x:f>
        <x:v>0</x:v>
      </x:c>
      <x:c r="R30" s="20" t="n">
        <x:f>Q30*H30</x:f>
        <x:v>0</x:v>
      </x:c>
      <x:c r="S30" s="20" t="n">
        <x:f>IF(E30="S",27.1+0.3*R30-0.00054*R30^2,0)</x:f>
        <x:v>0</x:v>
      </x:c>
      <x:c r="T30" s="20" t="n">
        <x:f>IF(E30="S",1-SIN(RADIANS(S30)),0)</x:f>
        <x:v>0</x:v>
      </x:c>
      <x:c r="U30" s="20" t="n">
        <x:f>1.5*T30</x:f>
        <x:v>0</x:v>
      </x:c>
      <x:c r="V30" s="20" t="n">
        <x:f>0.85*T30</x:f>
        <x:v>0</x:v>
      </x:c>
      <x:c r="W30" s="20" t="n">
        <x:f>IF(Pile_Input!$B$5&gt;1.5,U30,V30)</x:f>
        <x:v>0</x:v>
      </x:c>
      <x:c r="X30" s="20" t="n">
        <x:f>0.75*S30</x:f>
        <x:v>0</x:v>
      </x:c>
      <x:c r="Y30" s="20" t="n">
        <x:f>IF(E30="S",W30*TAN(RADIANS(X30)),0)</x:f>
        <x:v>0</x:v>
      </x:c>
      <x:c r="Z30" s="20" t="n">
        <x:f>P30*O30</x:f>
        <x:v>0</x:v>
      </x:c>
      <x:c r="AA30" s="20" t="n">
        <x:f>Y30*M30</x:f>
        <x:v>0</x:v>
      </x:c>
      <x:c r="AB30" s="20" t="n">
        <x:f>IF(E30="C",Z30,IF(E30="S",AA30,0))</x:f>
        <x:v>0</x:v>
      </x:c>
      <x:c r="AC30" s="20" t="n">
        <x:f>IF(B30&lt;Pile_Input!$B$8,0,MAX(AB30,0))</x:f>
        <x:v>0</x:v>
      </x:c>
      <x:c r="AD30" s="20" t="n">
        <x:f>Pile_Input!$B$7*I30</x:f>
        <x:v>0</x:v>
      </x:c>
      <x:c r="AE30" s="20" t="n">
        <x:f>AC30*AD30</x:f>
        <x:v>0</x:v>
      </x:c>
      <x:c r="AF30" s="20" t="n">
        <x:f>SUM($AE$2:AE30)</x:f>
        <x:v>2.417753626718237</x:v>
      </x:c>
      <x:c r="AG30" s="20" t="n">
        <x:f>IF(E30="S",EXP(PI()*TAN(RADIANS(S30)))*TAN(RADIANS(45+S30/2))^2*(1+TAN(RADIANS(S30))),0)</x:f>
        <x:v>0</x:v>
      </x:c>
      <x:c r="AH30" s="20" t="n">
        <x:f>IF(E30="S",0.6934*EXP(0.0974*S30),0)</x:f>
        <x:v>0</x:v>
      </x:c>
      <x:c r="AI30" s="20" t="n">
        <x:f>IF(Pile_Input!$B$5&gt;1.5,AG30,AH30)</x:f>
        <x:v>0</x:v>
      </x:c>
      <x:c r="AJ30" s="20" t="n">
        <x:f>IF(E30="S",2*(AI30+1)*TAN(RADIANS(S30)),0)</x:f>
        <x:v>0</x:v>
      </x:c>
      <x:c r="AK30" s="20" t="n">
        <x:f>MIN(9*O30,Pile_Input!$B$12)</x:f>
        <x:v>0</x:v>
      </x:c>
      <x:c r="AL30" s="20" t="n">
        <x:f>MIN((AI30-1)*L30,Pile_Input!$B$12)</x:f>
        <x:v>0</x:v>
      </x:c>
      <x:c r="AM30" s="20" t="n">
        <x:f>IF(E30="C",AK30,IF(E30="S",AL30,0))</x:f>
        <x:v>0</x:v>
      </x:c>
      <x:c r="AN30" s="20" t="e">
        <x:f>AVERAGE(INDEX($AM:$AM,MAX(2,ROW()-1)):INDEX($AM:$AM,MIN(101,ROW()+2)))</x:f>
      </x:c>
      <x:c r="AO30" s="20" t="e">
        <x:f>AN30*Pile_Input!$B$7</x:f>
      </x:c>
      <x:c r="AP30" s="20" t="e">
        <x:f>AF30+AO30</x:f>
      </x:c>
      <x:c r="AQ30" s="20" t="e">
        <x:f>AP30/Pile_Input!$B$11</x:f>
      </x:c>
      <x:c r="AR30" s="20" t="n">
        <x:f>0.25*Pile_Input!$B$4*10</x:f>
        <x:v>875</x:v>
      </x:c>
      <x:c r="AS30" s="20" t="n">
        <x:f>Pile_Input!$B$7*AR30</x:f>
        <x:v>1649.3361431346414</x:v>
      </x:c>
    </x:row>
    <x:row r="31">
      <x:c r="A31" s="20" t="n">
        <x:f>Layer_Input!A31</x:f>
        <x:v>0</x:v>
      </x:c>
      <x:c r="B31" s="20" t="n">
        <x:f>Layer_Input!B31</x:f>
        <x:v>0</x:v>
      </x:c>
      <x:c r="C31" s="20" t="n">
        <x:f>Layer_Input!C31</x:f>
        <x:v>0</x:v>
      </x:c>
      <x:c r="D31" s="20" t="n">
        <x:f>Layer_Input!D31</x:f>
        <x:v>0</x:v>
      </x:c>
      <x:c r="E31" s="20" t="n">
        <x:f>Layer_Input!E31</x:f>
        <x:v>0</x:v>
      </x:c>
      <x:c r="F31" s="20" t="n">
        <x:f>Layer_Input!F31</x:f>
        <x:v>0</x:v>
      </x:c>
      <x:c r="G31" s="20" t="n">
        <x:f>Layer_Input!G31</x:f>
        <x:v>0</x:v>
      </x:c>
      <x:c r="H31" s="20" t="n">
        <x:f>Layer_Input!H31</x:f>
        <x:v>0</x:v>
      </x:c>
      <x:c r="I31" s="20" t="n">
        <x:f>MAX(C31-B31,0)</x:f>
        <x:v>0</x:v>
      </x:c>
      <x:c r="J31" s="20" t="n">
        <x:f>MAX(IF(B31&lt;Pile_Input!$B$9,D31,D31-Pile_Input!$B$10),0)</x:f>
        <x:v>0</x:v>
      </x:c>
      <x:c r="K31" s="20" t="n">
        <x:f>J31*I31</x:f>
        <x:v>0</x:v>
      </x:c>
      <x:c r="L31" s="20" t="str">
        <x:f>IF(B31="","",SUM($K$2:K31))</x:f>
      </x:c>
      <x:c r="M31" s="20" t="str">
        <x:f>IF(B31="","",L31-K31/2)</x:f>
      </x:c>
      <x:c r="N31" s="20" t="n">
        <x:f>IF(ISNUMBER(H31),0.52*H31,"")</x:f>
        <x:v>0</x:v>
      </x:c>
      <x:c r="O31" s="20" t="n">
        <x:f>IF(E31="C",AVERAGE(G31,N31),0)</x:f>
        <x:v>0</x:v>
      </x:c>
      <x:c r="P31" s="20" t="n">
        <x:f>IF(E31="C",0.93*EXP(-0.0536*O31),0)</x:f>
        <x:v>0</x:v>
      </x:c>
      <x:c r="Q31" s="20" t="n">
        <x:f>IF(E31="S",0.77*LOG10(20*95.76/MAX(M31*9.81,0.0001)),0)</x:f>
        <x:v>0</x:v>
      </x:c>
      <x:c r="R31" s="20" t="n">
        <x:f>Q31*H31</x:f>
        <x:v>0</x:v>
      </x:c>
      <x:c r="S31" s="20" t="n">
        <x:f>IF(E31="S",27.1+0.3*R31-0.00054*R31^2,0)</x:f>
        <x:v>0</x:v>
      </x:c>
      <x:c r="T31" s="20" t="n">
        <x:f>IF(E31="S",1-SIN(RADIANS(S31)),0)</x:f>
        <x:v>0</x:v>
      </x:c>
      <x:c r="U31" s="20" t="n">
        <x:f>1.5*T31</x:f>
        <x:v>0</x:v>
      </x:c>
      <x:c r="V31" s="20" t="n">
        <x:f>0.85*T31</x:f>
        <x:v>0</x:v>
      </x:c>
      <x:c r="W31" s="20" t="n">
        <x:f>IF(Pile_Input!$B$5&gt;1.5,U31,V31)</x:f>
        <x:v>0</x:v>
      </x:c>
      <x:c r="X31" s="20" t="n">
        <x:f>0.75*S31</x:f>
        <x:v>0</x:v>
      </x:c>
      <x:c r="Y31" s="20" t="n">
        <x:f>IF(E31="S",W31*TAN(RADIANS(X31)),0)</x:f>
        <x:v>0</x:v>
      </x:c>
      <x:c r="Z31" s="20" t="n">
        <x:f>P31*O31</x:f>
        <x:v>0</x:v>
      </x:c>
      <x:c r="AA31" s="20" t="n">
        <x:f>Y31*M31</x:f>
        <x:v>0</x:v>
      </x:c>
      <x:c r="AB31" s="20" t="n">
        <x:f>IF(E31="C",Z31,IF(E31="S",AA31,0))</x:f>
        <x:v>0</x:v>
      </x:c>
      <x:c r="AC31" s="20" t="n">
        <x:f>IF(B31&lt;Pile_Input!$B$8,0,MAX(AB31,0))</x:f>
        <x:v>0</x:v>
      </x:c>
      <x:c r="AD31" s="20" t="n">
        <x:f>Pile_Input!$B$7*I31</x:f>
        <x:v>0</x:v>
      </x:c>
      <x:c r="AE31" s="20" t="n">
        <x:f>AC31*AD31</x:f>
        <x:v>0</x:v>
      </x:c>
      <x:c r="AF31" s="20" t="n">
        <x:f>SUM($AE$2:AE31)</x:f>
        <x:v>2.417753626718237</x:v>
      </x:c>
      <x:c r="AG31" s="20" t="n">
        <x:f>IF(E31="S",EXP(PI()*TAN(RADIANS(S31)))*TAN(RADIANS(45+S31/2))^2*(1+TAN(RADIANS(S31))),0)</x:f>
        <x:v>0</x:v>
      </x:c>
      <x:c r="AH31" s="20" t="n">
        <x:f>IF(E31="S",0.6934*EXP(0.0974*S31),0)</x:f>
        <x:v>0</x:v>
      </x:c>
      <x:c r="AI31" s="20" t="n">
        <x:f>IF(Pile_Input!$B$5&gt;1.5,AG31,AH31)</x:f>
        <x:v>0</x:v>
      </x:c>
      <x:c r="AJ31" s="20" t="n">
        <x:f>IF(E31="S",2*(AI31+1)*TAN(RADIANS(S31)),0)</x:f>
        <x:v>0</x:v>
      </x:c>
      <x:c r="AK31" s="20" t="n">
        <x:f>MIN(9*O31,Pile_Input!$B$12)</x:f>
        <x:v>0</x:v>
      </x:c>
      <x:c r="AL31" s="20" t="n">
        <x:f>MIN((AI31-1)*L31,Pile_Input!$B$12)</x:f>
        <x:v>0</x:v>
      </x:c>
      <x:c r="AM31" s="20" t="n">
        <x:f>IF(E31="C",AK31,IF(E31="S",AL31,0))</x:f>
        <x:v>0</x:v>
      </x:c>
      <x:c r="AN31" s="20" t="e">
        <x:f>AVERAGE(INDEX($AM:$AM,MAX(2,ROW()-1)):INDEX($AM:$AM,MIN(101,ROW()+2)))</x:f>
      </x:c>
      <x:c r="AO31" s="20" t="e">
        <x:f>AN31*Pile_Input!$B$7</x:f>
      </x:c>
      <x:c r="AP31" s="20" t="e">
        <x:f>AF31+AO31</x:f>
      </x:c>
      <x:c r="AQ31" s="20" t="e">
        <x:f>AP31/Pile_Input!$B$11</x:f>
      </x:c>
      <x:c r="AR31" s="20" t="n">
        <x:f>0.25*Pile_Input!$B$4*10</x:f>
        <x:v>875</x:v>
      </x:c>
      <x:c r="AS31" s="20" t="n">
        <x:f>Pile_Input!$B$7*AR31</x:f>
        <x:v>1649.3361431346414</x:v>
      </x:c>
    </x:row>
    <x:row r="32">
      <x:c r="A32" s="20" t="n">
        <x:f>Layer_Input!A32</x:f>
        <x:v>0</x:v>
      </x:c>
      <x:c r="B32" s="20" t="n">
        <x:f>Layer_Input!B32</x:f>
        <x:v>0</x:v>
      </x:c>
      <x:c r="C32" s="20" t="n">
        <x:f>Layer_Input!C32</x:f>
        <x:v>0</x:v>
      </x:c>
      <x:c r="D32" s="20" t="n">
        <x:f>Layer_Input!D32</x:f>
        <x:v>0</x:v>
      </x:c>
      <x:c r="E32" s="20" t="n">
        <x:f>Layer_Input!E32</x:f>
        <x:v>0</x:v>
      </x:c>
      <x:c r="F32" s="20" t="n">
        <x:f>Layer_Input!F32</x:f>
        <x:v>0</x:v>
      </x:c>
      <x:c r="G32" s="20" t="n">
        <x:f>Layer_Input!G32</x:f>
        <x:v>0</x:v>
      </x:c>
      <x:c r="H32" s="20" t="n">
        <x:f>Layer_Input!H32</x:f>
        <x:v>0</x:v>
      </x:c>
      <x:c r="I32" s="20" t="n">
        <x:f>MAX(C32-B32,0)</x:f>
        <x:v>0</x:v>
      </x:c>
      <x:c r="J32" s="20" t="n">
        <x:f>MAX(IF(B32&lt;Pile_Input!$B$9,D32,D32-Pile_Input!$B$10),0)</x:f>
        <x:v>0</x:v>
      </x:c>
      <x:c r="K32" s="20" t="n">
        <x:f>J32*I32</x:f>
        <x:v>0</x:v>
      </x:c>
      <x:c r="L32" s="20" t="str">
        <x:f>IF(B32="","",SUM($K$2:K32))</x:f>
      </x:c>
      <x:c r="M32" s="20" t="str">
        <x:f>IF(B32="","",L32-K32/2)</x:f>
      </x:c>
      <x:c r="N32" s="20" t="n">
        <x:f>IF(ISNUMBER(H32),0.52*H32,"")</x:f>
        <x:v>0</x:v>
      </x:c>
      <x:c r="O32" s="20" t="n">
        <x:f>IF(E32="C",AVERAGE(G32,N32),0)</x:f>
        <x:v>0</x:v>
      </x:c>
      <x:c r="P32" s="20" t="n">
        <x:f>IF(E32="C",0.93*EXP(-0.0536*O32),0)</x:f>
        <x:v>0</x:v>
      </x:c>
      <x:c r="Q32" s="20" t="n">
        <x:f>IF(E32="S",0.77*LOG10(20*95.76/MAX(M32*9.81,0.0001)),0)</x:f>
        <x:v>0</x:v>
      </x:c>
      <x:c r="R32" s="20" t="n">
        <x:f>Q32*H32</x:f>
        <x:v>0</x:v>
      </x:c>
      <x:c r="S32" s="20" t="n">
        <x:f>IF(E32="S",27.1+0.3*R32-0.00054*R32^2,0)</x:f>
        <x:v>0</x:v>
      </x:c>
      <x:c r="T32" s="20" t="n">
        <x:f>IF(E32="S",1-SIN(RADIANS(S32)),0)</x:f>
        <x:v>0</x:v>
      </x:c>
      <x:c r="U32" s="20" t="n">
        <x:f>1.5*T32</x:f>
        <x:v>0</x:v>
      </x:c>
      <x:c r="V32" s="20" t="n">
        <x:f>0.85*T32</x:f>
        <x:v>0</x:v>
      </x:c>
      <x:c r="W32" s="20" t="n">
        <x:f>IF(Pile_Input!$B$5&gt;1.5,U32,V32)</x:f>
        <x:v>0</x:v>
      </x:c>
      <x:c r="X32" s="20" t="n">
        <x:f>0.75*S32</x:f>
        <x:v>0</x:v>
      </x:c>
      <x:c r="Y32" s="20" t="n">
        <x:f>IF(E32="S",W32*TAN(RADIANS(X32)),0)</x:f>
        <x:v>0</x:v>
      </x:c>
      <x:c r="Z32" s="20" t="n">
        <x:f>P32*O32</x:f>
        <x:v>0</x:v>
      </x:c>
      <x:c r="AA32" s="20" t="n">
        <x:f>Y32*M32</x:f>
        <x:v>0</x:v>
      </x:c>
      <x:c r="AB32" s="20" t="n">
        <x:f>IF(E32="C",Z32,IF(E32="S",AA32,0))</x:f>
        <x:v>0</x:v>
      </x:c>
      <x:c r="AC32" s="20" t="n">
        <x:f>IF(B32&lt;Pile_Input!$B$8,0,MAX(AB32,0))</x:f>
        <x:v>0</x:v>
      </x:c>
      <x:c r="AD32" s="20" t="n">
        <x:f>Pile_Input!$B$7*I32</x:f>
        <x:v>0</x:v>
      </x:c>
      <x:c r="AE32" s="20" t="n">
        <x:f>AC32*AD32</x:f>
        <x:v>0</x:v>
      </x:c>
      <x:c r="AF32" s="20" t="n">
        <x:f>SUM($AE$2:AE32)</x:f>
        <x:v>2.417753626718237</x:v>
      </x:c>
      <x:c r="AG32" s="20" t="n">
        <x:f>IF(E32="S",EXP(PI()*TAN(RADIANS(S32)))*TAN(RADIANS(45+S32/2))^2*(1+TAN(RADIANS(S32))),0)</x:f>
        <x:v>0</x:v>
      </x:c>
      <x:c r="AH32" s="20" t="n">
        <x:f>IF(E32="S",0.6934*EXP(0.0974*S32),0)</x:f>
        <x:v>0</x:v>
      </x:c>
      <x:c r="AI32" s="20" t="n">
        <x:f>IF(Pile_Input!$B$5&gt;1.5,AG32,AH32)</x:f>
        <x:v>0</x:v>
      </x:c>
      <x:c r="AJ32" s="20" t="n">
        <x:f>IF(E32="S",2*(AI32+1)*TAN(RADIANS(S32)),0)</x:f>
        <x:v>0</x:v>
      </x:c>
      <x:c r="AK32" s="20" t="n">
        <x:f>MIN(9*O32,Pile_Input!$B$12)</x:f>
        <x:v>0</x:v>
      </x:c>
      <x:c r="AL32" s="20" t="n">
        <x:f>MIN((AI32-1)*L32,Pile_Input!$B$12)</x:f>
        <x:v>0</x:v>
      </x:c>
      <x:c r="AM32" s="20" t="n">
        <x:f>IF(E32="C",AK32,IF(E32="S",AL32,0))</x:f>
        <x:v>0</x:v>
      </x:c>
      <x:c r="AN32" s="20" t="e">
        <x:f>AVERAGE(INDEX($AM:$AM,MAX(2,ROW()-1)):INDEX($AM:$AM,MIN(101,ROW()+2)))</x:f>
      </x:c>
      <x:c r="AO32" s="20" t="e">
        <x:f>AN32*Pile_Input!$B$7</x:f>
      </x:c>
      <x:c r="AP32" s="20" t="e">
        <x:f>AF32+AO32</x:f>
      </x:c>
      <x:c r="AQ32" s="20" t="e">
        <x:f>AP32/Pile_Input!$B$11</x:f>
      </x:c>
      <x:c r="AR32" s="20" t="n">
        <x:f>0.25*Pile_Input!$B$4*10</x:f>
        <x:v>875</x:v>
      </x:c>
      <x:c r="AS32" s="20" t="n">
        <x:f>Pile_Input!$B$7*AR32</x:f>
        <x:v>1649.3361431346414</x:v>
      </x:c>
    </x:row>
    <x:row r="33">
      <x:c r="A33" s="20" t="n">
        <x:f>Layer_Input!A33</x:f>
        <x:v>0</x:v>
      </x:c>
      <x:c r="B33" s="20" t="n">
        <x:f>Layer_Input!B33</x:f>
        <x:v>0</x:v>
      </x:c>
      <x:c r="C33" s="20" t="n">
        <x:f>Layer_Input!C33</x:f>
        <x:v>0</x:v>
      </x:c>
      <x:c r="D33" s="20" t="n">
        <x:f>Layer_Input!D33</x:f>
        <x:v>0</x:v>
      </x:c>
      <x:c r="E33" s="20" t="n">
        <x:f>Layer_Input!E33</x:f>
        <x:v>0</x:v>
      </x:c>
      <x:c r="F33" s="20" t="n">
        <x:f>Layer_Input!F33</x:f>
        <x:v>0</x:v>
      </x:c>
      <x:c r="G33" s="20" t="n">
        <x:f>Layer_Input!G33</x:f>
        <x:v>0</x:v>
      </x:c>
      <x:c r="H33" s="20" t="n">
        <x:f>Layer_Input!H33</x:f>
        <x:v>0</x:v>
      </x:c>
      <x:c r="I33" s="20" t="n">
        <x:f>MAX(C33-B33,0)</x:f>
        <x:v>0</x:v>
      </x:c>
      <x:c r="J33" s="20" t="n">
        <x:f>MAX(IF(B33&lt;Pile_Input!$B$9,D33,D33-Pile_Input!$B$10),0)</x:f>
        <x:v>0</x:v>
      </x:c>
      <x:c r="K33" s="20" t="n">
        <x:f>J33*I33</x:f>
        <x:v>0</x:v>
      </x:c>
      <x:c r="L33" s="20" t="str">
        <x:f>IF(B33="","",SUM($K$2:K33))</x:f>
      </x:c>
      <x:c r="M33" s="20" t="str">
        <x:f>IF(B33="","",L33-K33/2)</x:f>
      </x:c>
      <x:c r="N33" s="20" t="n">
        <x:f>IF(ISNUMBER(H33),0.52*H33,"")</x:f>
        <x:v>0</x:v>
      </x:c>
      <x:c r="O33" s="20" t="n">
        <x:f>IF(E33="C",AVERAGE(G33,N33),0)</x:f>
        <x:v>0</x:v>
      </x:c>
      <x:c r="P33" s="20" t="n">
        <x:f>IF(E33="C",0.93*EXP(-0.0536*O33),0)</x:f>
        <x:v>0</x:v>
      </x:c>
      <x:c r="Q33" s="20" t="n">
        <x:f>IF(E33="S",0.77*LOG10(20*95.76/MAX(M33*9.81,0.0001)),0)</x:f>
        <x:v>0</x:v>
      </x:c>
      <x:c r="R33" s="20" t="n">
        <x:f>Q33*H33</x:f>
        <x:v>0</x:v>
      </x:c>
      <x:c r="S33" s="20" t="n">
        <x:f>IF(E33="S",27.1+0.3*R33-0.00054*R33^2,0)</x:f>
        <x:v>0</x:v>
      </x:c>
      <x:c r="T33" s="20" t="n">
        <x:f>IF(E33="S",1-SIN(RADIANS(S33)),0)</x:f>
        <x:v>0</x:v>
      </x:c>
      <x:c r="U33" s="20" t="n">
        <x:f>1.5*T33</x:f>
        <x:v>0</x:v>
      </x:c>
      <x:c r="V33" s="20" t="n">
        <x:f>0.85*T33</x:f>
        <x:v>0</x:v>
      </x:c>
      <x:c r="W33" s="20" t="n">
        <x:f>IF(Pile_Input!$B$5&gt;1.5,U33,V33)</x:f>
        <x:v>0</x:v>
      </x:c>
      <x:c r="X33" s="20" t="n">
        <x:f>0.75*S33</x:f>
        <x:v>0</x:v>
      </x:c>
      <x:c r="Y33" s="20" t="n">
        <x:f>IF(E33="S",W33*TAN(RADIANS(X33)),0)</x:f>
        <x:v>0</x:v>
      </x:c>
      <x:c r="Z33" s="20" t="n">
        <x:f>P33*O33</x:f>
        <x:v>0</x:v>
      </x:c>
      <x:c r="AA33" s="20" t="n">
        <x:f>Y33*M33</x:f>
        <x:v>0</x:v>
      </x:c>
      <x:c r="AB33" s="20" t="n">
        <x:f>IF(E33="C",Z33,IF(E33="S",AA33,0))</x:f>
        <x:v>0</x:v>
      </x:c>
      <x:c r="AC33" s="20" t="n">
        <x:f>IF(B33&lt;Pile_Input!$B$8,0,MAX(AB33,0))</x:f>
        <x:v>0</x:v>
      </x:c>
      <x:c r="AD33" s="20" t="n">
        <x:f>Pile_Input!$B$7*I33</x:f>
        <x:v>0</x:v>
      </x:c>
      <x:c r="AE33" s="20" t="n">
        <x:f>AC33*AD33</x:f>
        <x:v>0</x:v>
      </x:c>
      <x:c r="AF33" s="20" t="n">
        <x:f>SUM($AE$2:AE33)</x:f>
        <x:v>2.417753626718237</x:v>
      </x:c>
      <x:c r="AG33" s="20" t="n">
        <x:f>IF(E33="S",EXP(PI()*TAN(RADIANS(S33)))*TAN(RADIANS(45+S33/2))^2*(1+TAN(RADIANS(S33))),0)</x:f>
        <x:v>0</x:v>
      </x:c>
      <x:c r="AH33" s="20" t="n">
        <x:f>IF(E33="S",0.6934*EXP(0.0974*S33),0)</x:f>
        <x:v>0</x:v>
      </x:c>
      <x:c r="AI33" s="20" t="n">
        <x:f>IF(Pile_Input!$B$5&gt;1.5,AG33,AH33)</x:f>
        <x:v>0</x:v>
      </x:c>
      <x:c r="AJ33" s="20" t="n">
        <x:f>IF(E33="S",2*(AI33+1)*TAN(RADIANS(S33)),0)</x:f>
        <x:v>0</x:v>
      </x:c>
      <x:c r="AK33" s="20" t="n">
        <x:f>MIN(9*O33,Pile_Input!$B$12)</x:f>
        <x:v>0</x:v>
      </x:c>
      <x:c r="AL33" s="20" t="n">
        <x:f>MIN((AI33-1)*L33,Pile_Input!$B$12)</x:f>
        <x:v>0</x:v>
      </x:c>
      <x:c r="AM33" s="20" t="n">
        <x:f>IF(E33="C",AK33,IF(E33="S",AL33,0))</x:f>
        <x:v>0</x:v>
      </x:c>
      <x:c r="AN33" s="20" t="e">
        <x:f>AVERAGE(INDEX($AM:$AM,MAX(2,ROW()-1)):INDEX($AM:$AM,MIN(101,ROW()+2)))</x:f>
      </x:c>
      <x:c r="AO33" s="20" t="e">
        <x:f>AN33*Pile_Input!$B$7</x:f>
      </x:c>
      <x:c r="AP33" s="20" t="e">
        <x:f>AF33+AO33</x:f>
      </x:c>
      <x:c r="AQ33" s="20" t="e">
        <x:f>AP33/Pile_Input!$B$11</x:f>
      </x:c>
      <x:c r="AR33" s="20" t="n">
        <x:f>0.25*Pile_Input!$B$4*10</x:f>
        <x:v>875</x:v>
      </x:c>
      <x:c r="AS33" s="20" t="n">
        <x:f>Pile_Input!$B$7*AR33</x:f>
        <x:v>1649.3361431346414</x:v>
      </x:c>
    </x:row>
    <x:row r="34">
      <x:c r="A34" s="20" t="n">
        <x:f>Layer_Input!A34</x:f>
        <x:v>0</x:v>
      </x:c>
      <x:c r="B34" s="20" t="n">
        <x:f>Layer_Input!B34</x:f>
        <x:v>0</x:v>
      </x:c>
      <x:c r="C34" s="20" t="n">
        <x:f>Layer_Input!C34</x:f>
        <x:v>0</x:v>
      </x:c>
      <x:c r="D34" s="20" t="n">
        <x:f>Layer_Input!D34</x:f>
        <x:v>0</x:v>
      </x:c>
      <x:c r="E34" s="20" t="n">
        <x:f>Layer_Input!E34</x:f>
        <x:v>0</x:v>
      </x:c>
      <x:c r="F34" s="20" t="n">
        <x:f>Layer_Input!F34</x:f>
        <x:v>0</x:v>
      </x:c>
      <x:c r="G34" s="20" t="n">
        <x:f>Layer_Input!G34</x:f>
        <x:v>0</x:v>
      </x:c>
      <x:c r="H34" s="20" t="n">
        <x:f>Layer_Input!H34</x:f>
        <x:v>0</x:v>
      </x:c>
      <x:c r="I34" s="20" t="n">
        <x:f>MAX(C34-B34,0)</x:f>
        <x:v>0</x:v>
      </x:c>
      <x:c r="J34" s="20" t="n">
        <x:f>MAX(IF(B34&lt;Pile_Input!$B$9,D34,D34-Pile_Input!$B$10),0)</x:f>
        <x:v>0</x:v>
      </x:c>
      <x:c r="K34" s="20" t="n">
        <x:f>J34*I34</x:f>
        <x:v>0</x:v>
      </x:c>
      <x:c r="L34" s="20" t="str">
        <x:f>IF(B34="","",SUM($K$2:K34))</x:f>
      </x:c>
      <x:c r="M34" s="20" t="str">
        <x:f>IF(B34="","",L34-K34/2)</x:f>
      </x:c>
      <x:c r="N34" s="20" t="n">
        <x:f>IF(ISNUMBER(H34),0.52*H34,"")</x:f>
        <x:v>0</x:v>
      </x:c>
      <x:c r="O34" s="20" t="n">
        <x:f>IF(E34="C",AVERAGE(G34,N34),0)</x:f>
        <x:v>0</x:v>
      </x:c>
      <x:c r="P34" s="20" t="n">
        <x:f>IF(E34="C",0.93*EXP(-0.0536*O34),0)</x:f>
        <x:v>0</x:v>
      </x:c>
      <x:c r="Q34" s="20" t="n">
        <x:f>IF(E34="S",0.77*LOG10(20*95.76/MAX(M34*9.81,0.0001)),0)</x:f>
        <x:v>0</x:v>
      </x:c>
      <x:c r="R34" s="20" t="n">
        <x:f>Q34*H34</x:f>
        <x:v>0</x:v>
      </x:c>
      <x:c r="S34" s="20" t="n">
        <x:f>IF(E34="S",27.1+0.3*R34-0.00054*R34^2,0)</x:f>
        <x:v>0</x:v>
      </x:c>
      <x:c r="T34" s="20" t="n">
        <x:f>IF(E34="S",1-SIN(RADIANS(S34)),0)</x:f>
        <x:v>0</x:v>
      </x:c>
      <x:c r="U34" s="20" t="n">
        <x:f>1.5*T34</x:f>
        <x:v>0</x:v>
      </x:c>
      <x:c r="V34" s="20" t="n">
        <x:f>0.85*T34</x:f>
        <x:v>0</x:v>
      </x:c>
      <x:c r="W34" s="20" t="n">
        <x:f>IF(Pile_Input!$B$5&gt;1.5,U34,V34)</x:f>
        <x:v>0</x:v>
      </x:c>
      <x:c r="X34" s="20" t="n">
        <x:f>0.75*S34</x:f>
        <x:v>0</x:v>
      </x:c>
      <x:c r="Y34" s="20" t="n">
        <x:f>IF(E34="S",W34*TAN(RADIANS(X34)),0)</x:f>
        <x:v>0</x:v>
      </x:c>
      <x:c r="Z34" s="20" t="n">
        <x:f>P34*O34</x:f>
        <x:v>0</x:v>
      </x:c>
      <x:c r="AA34" s="20" t="n">
        <x:f>Y34*M34</x:f>
        <x:v>0</x:v>
      </x:c>
      <x:c r="AB34" s="20" t="n">
        <x:f>IF(E34="C",Z34,IF(E34="S",AA34,0))</x:f>
        <x:v>0</x:v>
      </x:c>
      <x:c r="AC34" s="20" t="n">
        <x:f>IF(B34&lt;Pile_Input!$B$8,0,MAX(AB34,0))</x:f>
        <x:v>0</x:v>
      </x:c>
      <x:c r="AD34" s="20" t="n">
        <x:f>Pile_Input!$B$7*I34</x:f>
        <x:v>0</x:v>
      </x:c>
      <x:c r="AE34" s="20" t="n">
        <x:f>AC34*AD34</x:f>
        <x:v>0</x:v>
      </x:c>
      <x:c r="AF34" s="20" t="n">
        <x:f>SUM($AE$2:AE34)</x:f>
        <x:v>2.417753626718237</x:v>
      </x:c>
      <x:c r="AG34" s="20" t="n">
        <x:f>IF(E34="S",EXP(PI()*TAN(RADIANS(S34)))*TAN(RADIANS(45+S34/2))^2*(1+TAN(RADIANS(S34))),0)</x:f>
        <x:v>0</x:v>
      </x:c>
      <x:c r="AH34" s="20" t="n">
        <x:f>IF(E34="S",0.6934*EXP(0.0974*S34),0)</x:f>
        <x:v>0</x:v>
      </x:c>
      <x:c r="AI34" s="20" t="n">
        <x:f>IF(Pile_Input!$B$5&gt;1.5,AG34,AH34)</x:f>
        <x:v>0</x:v>
      </x:c>
      <x:c r="AJ34" s="20" t="n">
        <x:f>IF(E34="S",2*(AI34+1)*TAN(RADIANS(S34)),0)</x:f>
        <x:v>0</x:v>
      </x:c>
      <x:c r="AK34" s="20" t="n">
        <x:f>MIN(9*O34,Pile_Input!$B$12)</x:f>
        <x:v>0</x:v>
      </x:c>
      <x:c r="AL34" s="20" t="n">
        <x:f>MIN((AI34-1)*L34,Pile_Input!$B$12)</x:f>
        <x:v>0</x:v>
      </x:c>
      <x:c r="AM34" s="20" t="n">
        <x:f>IF(E34="C",AK34,IF(E34="S",AL34,0))</x:f>
        <x:v>0</x:v>
      </x:c>
      <x:c r="AN34" s="20" t="e">
        <x:f>AVERAGE(INDEX($AM:$AM,MAX(2,ROW()-1)):INDEX($AM:$AM,MIN(101,ROW()+2)))</x:f>
      </x:c>
      <x:c r="AO34" s="20" t="e">
        <x:f>AN34*Pile_Input!$B$7</x:f>
      </x:c>
      <x:c r="AP34" s="20" t="e">
        <x:f>AF34+AO34</x:f>
      </x:c>
      <x:c r="AQ34" s="20" t="e">
        <x:f>AP34/Pile_Input!$B$11</x:f>
      </x:c>
      <x:c r="AR34" s="20" t="n">
        <x:f>0.25*Pile_Input!$B$4*10</x:f>
        <x:v>875</x:v>
      </x:c>
      <x:c r="AS34" s="20" t="n">
        <x:f>Pile_Input!$B$7*AR34</x:f>
        <x:v>1649.3361431346414</x:v>
      </x:c>
    </x:row>
    <x:row r="35">
      <x:c r="A35" s="20" t="n">
        <x:f>Layer_Input!A35</x:f>
        <x:v>0</x:v>
      </x:c>
      <x:c r="B35" s="20" t="n">
        <x:f>Layer_Input!B35</x:f>
        <x:v>0</x:v>
      </x:c>
      <x:c r="C35" s="20" t="n">
        <x:f>Layer_Input!C35</x:f>
        <x:v>0</x:v>
      </x:c>
      <x:c r="D35" s="20" t="n">
        <x:f>Layer_Input!D35</x:f>
        <x:v>0</x:v>
      </x:c>
      <x:c r="E35" s="20" t="n">
        <x:f>Layer_Input!E35</x:f>
        <x:v>0</x:v>
      </x:c>
      <x:c r="F35" s="20" t="n">
        <x:f>Layer_Input!F35</x:f>
        <x:v>0</x:v>
      </x:c>
      <x:c r="G35" s="20" t="n">
        <x:f>Layer_Input!G35</x:f>
        <x:v>0</x:v>
      </x:c>
      <x:c r="H35" s="20" t="n">
        <x:f>Layer_Input!H35</x:f>
        <x:v>0</x:v>
      </x:c>
      <x:c r="I35" s="20" t="n">
        <x:f>MAX(C35-B35,0)</x:f>
        <x:v>0</x:v>
      </x:c>
      <x:c r="J35" s="20" t="n">
        <x:f>MAX(IF(B35&lt;Pile_Input!$B$9,D35,D35-Pile_Input!$B$10),0)</x:f>
        <x:v>0</x:v>
      </x:c>
      <x:c r="K35" s="20" t="n">
        <x:f>J35*I35</x:f>
        <x:v>0</x:v>
      </x:c>
      <x:c r="L35" s="20" t="str">
        <x:f>IF(B35="","",SUM($K$2:K35))</x:f>
      </x:c>
      <x:c r="M35" s="20" t="str">
        <x:f>IF(B35="","",L35-K35/2)</x:f>
      </x:c>
      <x:c r="N35" s="20" t="n">
        <x:f>IF(ISNUMBER(H35),0.52*H35,"")</x:f>
        <x:v>0</x:v>
      </x:c>
      <x:c r="O35" s="20" t="n">
        <x:f>IF(E35="C",AVERAGE(G35,N35),0)</x:f>
        <x:v>0</x:v>
      </x:c>
      <x:c r="P35" s="20" t="n">
        <x:f>IF(E35="C",0.93*EXP(-0.0536*O35),0)</x:f>
        <x:v>0</x:v>
      </x:c>
      <x:c r="Q35" s="20" t="n">
        <x:f>IF(E35="S",0.77*LOG10(20*95.76/MAX(M35*9.81,0.0001)),0)</x:f>
        <x:v>0</x:v>
      </x:c>
      <x:c r="R35" s="20" t="n">
        <x:f>Q35*H35</x:f>
        <x:v>0</x:v>
      </x:c>
      <x:c r="S35" s="20" t="n">
        <x:f>IF(E35="S",27.1+0.3*R35-0.00054*R35^2,0)</x:f>
        <x:v>0</x:v>
      </x:c>
      <x:c r="T35" s="20" t="n">
        <x:f>IF(E35="S",1-SIN(RADIANS(S35)),0)</x:f>
        <x:v>0</x:v>
      </x:c>
      <x:c r="U35" s="20" t="n">
        <x:f>1.5*T35</x:f>
        <x:v>0</x:v>
      </x:c>
      <x:c r="V35" s="20" t="n">
        <x:f>0.85*T35</x:f>
        <x:v>0</x:v>
      </x:c>
      <x:c r="W35" s="20" t="n">
        <x:f>IF(Pile_Input!$B$5&gt;1.5,U35,V35)</x:f>
        <x:v>0</x:v>
      </x:c>
      <x:c r="X35" s="20" t="n">
        <x:f>0.75*S35</x:f>
        <x:v>0</x:v>
      </x:c>
      <x:c r="Y35" s="20" t="n">
        <x:f>IF(E35="S",W35*TAN(RADIANS(X35)),0)</x:f>
        <x:v>0</x:v>
      </x:c>
      <x:c r="Z35" s="20" t="n">
        <x:f>P35*O35</x:f>
        <x:v>0</x:v>
      </x:c>
      <x:c r="AA35" s="20" t="n">
        <x:f>Y35*M35</x:f>
        <x:v>0</x:v>
      </x:c>
      <x:c r="AB35" s="20" t="n">
        <x:f>IF(E35="C",Z35,IF(E35="S",AA35,0))</x:f>
        <x:v>0</x:v>
      </x:c>
      <x:c r="AC35" s="20" t="n">
        <x:f>IF(B35&lt;Pile_Input!$B$8,0,MAX(AB35,0))</x:f>
        <x:v>0</x:v>
      </x:c>
      <x:c r="AD35" s="20" t="n">
        <x:f>Pile_Input!$B$7*I35</x:f>
        <x:v>0</x:v>
      </x:c>
      <x:c r="AE35" s="20" t="n">
        <x:f>AC35*AD35</x:f>
        <x:v>0</x:v>
      </x:c>
      <x:c r="AF35" s="20" t="n">
        <x:f>SUM($AE$2:AE35)</x:f>
        <x:v>2.417753626718237</x:v>
      </x:c>
      <x:c r="AG35" s="20" t="n">
        <x:f>IF(E35="S",EXP(PI()*TAN(RADIANS(S35)))*TAN(RADIANS(45+S35/2))^2*(1+TAN(RADIANS(S35))),0)</x:f>
        <x:v>0</x:v>
      </x:c>
      <x:c r="AH35" s="20" t="n">
        <x:f>IF(E35="S",0.6934*EXP(0.0974*S35),0)</x:f>
        <x:v>0</x:v>
      </x:c>
      <x:c r="AI35" s="20" t="n">
        <x:f>IF(Pile_Input!$B$5&gt;1.5,AG35,AH35)</x:f>
        <x:v>0</x:v>
      </x:c>
      <x:c r="AJ35" s="20" t="n">
        <x:f>IF(E35="S",2*(AI35+1)*TAN(RADIANS(S35)),0)</x:f>
        <x:v>0</x:v>
      </x:c>
      <x:c r="AK35" s="20" t="n">
        <x:f>MIN(9*O35,Pile_Input!$B$12)</x:f>
        <x:v>0</x:v>
      </x:c>
      <x:c r="AL35" s="20" t="n">
        <x:f>MIN((AI35-1)*L35,Pile_Input!$B$12)</x:f>
        <x:v>0</x:v>
      </x:c>
      <x:c r="AM35" s="20" t="n">
        <x:f>IF(E35="C",AK35,IF(E35="S",AL35,0))</x:f>
        <x:v>0</x:v>
      </x:c>
      <x:c r="AN35" s="20" t="e">
        <x:f>AVERAGE(INDEX($AM:$AM,MAX(2,ROW()-1)):INDEX($AM:$AM,MIN(101,ROW()+2)))</x:f>
      </x:c>
      <x:c r="AO35" s="20" t="e">
        <x:f>AN35*Pile_Input!$B$7</x:f>
      </x:c>
      <x:c r="AP35" s="20" t="e">
        <x:f>AF35+AO35</x:f>
      </x:c>
      <x:c r="AQ35" s="20" t="e">
        <x:f>AP35/Pile_Input!$B$11</x:f>
      </x:c>
      <x:c r="AR35" s="20" t="n">
        <x:f>0.25*Pile_Input!$B$4*10</x:f>
        <x:v>875</x:v>
      </x:c>
      <x:c r="AS35" s="20" t="n">
        <x:f>Pile_Input!$B$7*AR35</x:f>
        <x:v>1649.3361431346414</x:v>
      </x:c>
    </x:row>
    <x:row r="36">
      <x:c r="A36" s="20" t="n">
        <x:f>Layer_Input!A36</x:f>
        <x:v>0</x:v>
      </x:c>
      <x:c r="B36" s="20" t="n">
        <x:f>Layer_Input!B36</x:f>
        <x:v>0</x:v>
      </x:c>
      <x:c r="C36" s="20" t="n">
        <x:f>Layer_Input!C36</x:f>
        <x:v>0</x:v>
      </x:c>
      <x:c r="D36" s="20" t="n">
        <x:f>Layer_Input!D36</x:f>
        <x:v>0</x:v>
      </x:c>
      <x:c r="E36" s="20" t="n">
        <x:f>Layer_Input!E36</x:f>
        <x:v>0</x:v>
      </x:c>
      <x:c r="F36" s="20" t="n">
        <x:f>Layer_Input!F36</x:f>
        <x:v>0</x:v>
      </x:c>
      <x:c r="G36" s="20" t="n">
        <x:f>Layer_Input!G36</x:f>
        <x:v>0</x:v>
      </x:c>
      <x:c r="H36" s="20" t="n">
        <x:f>Layer_Input!H36</x:f>
        <x:v>0</x:v>
      </x:c>
      <x:c r="I36" s="20" t="n">
        <x:f>MAX(C36-B36,0)</x:f>
        <x:v>0</x:v>
      </x:c>
      <x:c r="J36" s="20" t="n">
        <x:f>MAX(IF(B36&lt;Pile_Input!$B$9,D36,D36-Pile_Input!$B$10),0)</x:f>
        <x:v>0</x:v>
      </x:c>
      <x:c r="K36" s="20" t="n">
        <x:f>J36*I36</x:f>
        <x:v>0</x:v>
      </x:c>
      <x:c r="L36" s="20" t="str">
        <x:f>IF(B36="","",SUM($K$2:K36))</x:f>
      </x:c>
      <x:c r="M36" s="20" t="str">
        <x:f>IF(B36="","",L36-K36/2)</x:f>
      </x:c>
      <x:c r="N36" s="20" t="n">
        <x:f>IF(ISNUMBER(H36),0.52*H36,"")</x:f>
        <x:v>0</x:v>
      </x:c>
      <x:c r="O36" s="20" t="n">
        <x:f>IF(E36="C",AVERAGE(G36,N36),0)</x:f>
        <x:v>0</x:v>
      </x:c>
      <x:c r="P36" s="20" t="n">
        <x:f>IF(E36="C",0.93*EXP(-0.0536*O36),0)</x:f>
        <x:v>0</x:v>
      </x:c>
      <x:c r="Q36" s="20" t="n">
        <x:f>IF(E36="S",0.77*LOG10(20*95.76/MAX(M36*9.81,0.0001)),0)</x:f>
        <x:v>0</x:v>
      </x:c>
      <x:c r="R36" s="20" t="n">
        <x:f>Q36*H36</x:f>
        <x:v>0</x:v>
      </x:c>
      <x:c r="S36" s="20" t="n">
        <x:f>IF(E36="S",27.1+0.3*R36-0.00054*R36^2,0)</x:f>
        <x:v>0</x:v>
      </x:c>
      <x:c r="T36" s="20" t="n">
        <x:f>IF(E36="S",1-SIN(RADIANS(S36)),0)</x:f>
        <x:v>0</x:v>
      </x:c>
      <x:c r="U36" s="20" t="n">
        <x:f>1.5*T36</x:f>
        <x:v>0</x:v>
      </x:c>
      <x:c r="V36" s="20" t="n">
        <x:f>0.85*T36</x:f>
        <x:v>0</x:v>
      </x:c>
      <x:c r="W36" s="20" t="n">
        <x:f>IF(Pile_Input!$B$5&gt;1.5,U36,V36)</x:f>
        <x:v>0</x:v>
      </x:c>
      <x:c r="X36" s="20" t="n">
        <x:f>0.75*S36</x:f>
        <x:v>0</x:v>
      </x:c>
      <x:c r="Y36" s="20" t="n">
        <x:f>IF(E36="S",W36*TAN(RADIANS(X36)),0)</x:f>
        <x:v>0</x:v>
      </x:c>
      <x:c r="Z36" s="20" t="n">
        <x:f>P36*O36</x:f>
        <x:v>0</x:v>
      </x:c>
      <x:c r="AA36" s="20" t="n">
        <x:f>Y36*M36</x:f>
        <x:v>0</x:v>
      </x:c>
      <x:c r="AB36" s="20" t="n">
        <x:f>IF(E36="C",Z36,IF(E36="S",AA36,0))</x:f>
        <x:v>0</x:v>
      </x:c>
      <x:c r="AC36" s="20" t="n">
        <x:f>IF(B36&lt;Pile_Input!$B$8,0,MAX(AB36,0))</x:f>
        <x:v>0</x:v>
      </x:c>
      <x:c r="AD36" s="20" t="n">
        <x:f>Pile_Input!$B$7*I36</x:f>
        <x:v>0</x:v>
      </x:c>
      <x:c r="AE36" s="20" t="n">
        <x:f>AC36*AD36</x:f>
        <x:v>0</x:v>
      </x:c>
      <x:c r="AF36" s="20" t="n">
        <x:f>SUM($AE$2:AE36)</x:f>
        <x:v>2.417753626718237</x:v>
      </x:c>
      <x:c r="AG36" s="20" t="n">
        <x:f>IF(E36="S",EXP(PI()*TAN(RADIANS(S36)))*TAN(RADIANS(45+S36/2))^2*(1+TAN(RADIANS(S36))),0)</x:f>
        <x:v>0</x:v>
      </x:c>
      <x:c r="AH36" s="20" t="n">
        <x:f>IF(E36="S",0.6934*EXP(0.0974*S36),0)</x:f>
        <x:v>0</x:v>
      </x:c>
      <x:c r="AI36" s="20" t="n">
        <x:f>IF(Pile_Input!$B$5&gt;1.5,AG36,AH36)</x:f>
        <x:v>0</x:v>
      </x:c>
      <x:c r="AJ36" s="20" t="n">
        <x:f>IF(E36="S",2*(AI36+1)*TAN(RADIANS(S36)),0)</x:f>
        <x:v>0</x:v>
      </x:c>
      <x:c r="AK36" s="20" t="n">
        <x:f>MIN(9*O36,Pile_Input!$B$12)</x:f>
        <x:v>0</x:v>
      </x:c>
      <x:c r="AL36" s="20" t="n">
        <x:f>MIN((AI36-1)*L36,Pile_Input!$B$12)</x:f>
        <x:v>0</x:v>
      </x:c>
      <x:c r="AM36" s="20" t="n">
        <x:f>IF(E36="C",AK36,IF(E36="S",AL36,0))</x:f>
        <x:v>0</x:v>
      </x:c>
      <x:c r="AN36" s="20" t="e">
        <x:f>AVERAGE(INDEX($AM:$AM,MAX(2,ROW()-1)):INDEX($AM:$AM,MIN(101,ROW()+2)))</x:f>
      </x:c>
      <x:c r="AO36" s="20" t="e">
        <x:f>AN36*Pile_Input!$B$7</x:f>
      </x:c>
      <x:c r="AP36" s="20" t="e">
        <x:f>AF36+AO36</x:f>
      </x:c>
      <x:c r="AQ36" s="20" t="e">
        <x:f>AP36/Pile_Input!$B$11</x:f>
      </x:c>
      <x:c r="AR36" s="20" t="n">
        <x:f>0.25*Pile_Input!$B$4*10</x:f>
        <x:v>875</x:v>
      </x:c>
      <x:c r="AS36" s="20" t="n">
        <x:f>Pile_Input!$B$7*AR36</x:f>
        <x:v>1649.3361431346414</x:v>
      </x:c>
    </x:row>
    <x:row r="37">
      <x:c r="A37" s="20" t="n">
        <x:f>Layer_Input!A37</x:f>
        <x:v>0</x:v>
      </x:c>
      <x:c r="B37" s="20" t="n">
        <x:f>Layer_Input!B37</x:f>
        <x:v>0</x:v>
      </x:c>
      <x:c r="C37" s="20" t="n">
        <x:f>Layer_Input!C37</x:f>
        <x:v>0</x:v>
      </x:c>
      <x:c r="D37" s="20" t="n">
        <x:f>Layer_Input!D37</x:f>
        <x:v>0</x:v>
      </x:c>
      <x:c r="E37" s="20" t="n">
        <x:f>Layer_Input!E37</x:f>
        <x:v>0</x:v>
      </x:c>
      <x:c r="F37" s="20" t="n">
        <x:f>Layer_Input!F37</x:f>
        <x:v>0</x:v>
      </x:c>
      <x:c r="G37" s="20" t="n">
        <x:f>Layer_Input!G37</x:f>
        <x:v>0</x:v>
      </x:c>
      <x:c r="H37" s="20" t="n">
        <x:f>Layer_Input!H37</x:f>
        <x:v>0</x:v>
      </x:c>
      <x:c r="I37" s="20" t="n">
        <x:f>MAX(C37-B37,0)</x:f>
        <x:v>0</x:v>
      </x:c>
      <x:c r="J37" s="20" t="n">
        <x:f>MAX(IF(B37&lt;Pile_Input!$B$9,D37,D37-Pile_Input!$B$10),0)</x:f>
        <x:v>0</x:v>
      </x:c>
      <x:c r="K37" s="20" t="n">
        <x:f>J37*I37</x:f>
        <x:v>0</x:v>
      </x:c>
      <x:c r="L37" s="20" t="str">
        <x:f>IF(B37="","",SUM($K$2:K37))</x:f>
      </x:c>
      <x:c r="M37" s="20" t="str">
        <x:f>IF(B37="","",L37-K37/2)</x:f>
      </x:c>
      <x:c r="N37" s="20" t="n">
        <x:f>IF(ISNUMBER(H37),0.52*H37,"")</x:f>
        <x:v>0</x:v>
      </x:c>
      <x:c r="O37" s="20" t="n">
        <x:f>IF(E37="C",AVERAGE(G37,N37),0)</x:f>
        <x:v>0</x:v>
      </x:c>
      <x:c r="P37" s="20" t="n">
        <x:f>IF(E37="C",0.93*EXP(-0.0536*O37),0)</x:f>
        <x:v>0</x:v>
      </x:c>
      <x:c r="Q37" s="20" t="n">
        <x:f>IF(E37="S",0.77*LOG10(20*95.76/MAX(M37*9.81,0.0001)),0)</x:f>
        <x:v>0</x:v>
      </x:c>
      <x:c r="R37" s="20" t="n">
        <x:f>Q37*H37</x:f>
        <x:v>0</x:v>
      </x:c>
      <x:c r="S37" s="20" t="n">
        <x:f>IF(E37="S",27.1+0.3*R37-0.00054*R37^2,0)</x:f>
        <x:v>0</x:v>
      </x:c>
      <x:c r="T37" s="20" t="n">
        <x:f>IF(E37="S",1-SIN(RADIANS(S37)),0)</x:f>
        <x:v>0</x:v>
      </x:c>
      <x:c r="U37" s="20" t="n">
        <x:f>1.5*T37</x:f>
        <x:v>0</x:v>
      </x:c>
      <x:c r="V37" s="20" t="n">
        <x:f>0.85*T37</x:f>
        <x:v>0</x:v>
      </x:c>
      <x:c r="W37" s="20" t="n">
        <x:f>IF(Pile_Input!$B$5&gt;1.5,U37,V37)</x:f>
        <x:v>0</x:v>
      </x:c>
      <x:c r="X37" s="20" t="n">
        <x:f>0.75*S37</x:f>
        <x:v>0</x:v>
      </x:c>
      <x:c r="Y37" s="20" t="n">
        <x:f>IF(E37="S",W37*TAN(RADIANS(X37)),0)</x:f>
        <x:v>0</x:v>
      </x:c>
      <x:c r="Z37" s="20" t="n">
        <x:f>P37*O37</x:f>
        <x:v>0</x:v>
      </x:c>
      <x:c r="AA37" s="20" t="n">
        <x:f>Y37*M37</x:f>
        <x:v>0</x:v>
      </x:c>
      <x:c r="AB37" s="20" t="n">
        <x:f>IF(E37="C",Z37,IF(E37="S",AA37,0))</x:f>
        <x:v>0</x:v>
      </x:c>
      <x:c r="AC37" s="20" t="n">
        <x:f>IF(B37&lt;Pile_Input!$B$8,0,MAX(AB37,0))</x:f>
        <x:v>0</x:v>
      </x:c>
      <x:c r="AD37" s="20" t="n">
        <x:f>Pile_Input!$B$7*I37</x:f>
        <x:v>0</x:v>
      </x:c>
      <x:c r="AE37" s="20" t="n">
        <x:f>AC37*AD37</x:f>
        <x:v>0</x:v>
      </x:c>
      <x:c r="AF37" s="20" t="n">
        <x:f>SUM($AE$2:AE37)</x:f>
        <x:v>2.417753626718237</x:v>
      </x:c>
      <x:c r="AG37" s="20" t="n">
        <x:f>IF(E37="S",EXP(PI()*TAN(RADIANS(S37)))*TAN(RADIANS(45+S37/2))^2*(1+TAN(RADIANS(S37))),0)</x:f>
        <x:v>0</x:v>
      </x:c>
      <x:c r="AH37" s="20" t="n">
        <x:f>IF(E37="S",0.6934*EXP(0.0974*S37),0)</x:f>
        <x:v>0</x:v>
      </x:c>
      <x:c r="AI37" s="20" t="n">
        <x:f>IF(Pile_Input!$B$5&gt;1.5,AG37,AH37)</x:f>
        <x:v>0</x:v>
      </x:c>
      <x:c r="AJ37" s="20" t="n">
        <x:f>IF(E37="S",2*(AI37+1)*TAN(RADIANS(S37)),0)</x:f>
        <x:v>0</x:v>
      </x:c>
      <x:c r="AK37" s="20" t="n">
        <x:f>MIN(9*O37,Pile_Input!$B$12)</x:f>
        <x:v>0</x:v>
      </x:c>
      <x:c r="AL37" s="20" t="n">
        <x:f>MIN((AI37-1)*L37,Pile_Input!$B$12)</x:f>
        <x:v>0</x:v>
      </x:c>
      <x:c r="AM37" s="20" t="n">
        <x:f>IF(E37="C",AK37,IF(E37="S",AL37,0))</x:f>
        <x:v>0</x:v>
      </x:c>
      <x:c r="AN37" s="20" t="e">
        <x:f>AVERAGE(INDEX($AM:$AM,MAX(2,ROW()-1)):INDEX($AM:$AM,MIN(101,ROW()+2)))</x:f>
      </x:c>
      <x:c r="AO37" s="20" t="e">
        <x:f>AN37*Pile_Input!$B$7</x:f>
      </x:c>
      <x:c r="AP37" s="20" t="e">
        <x:f>AF37+AO37</x:f>
      </x:c>
      <x:c r="AQ37" s="20" t="e">
        <x:f>AP37/Pile_Input!$B$11</x:f>
      </x:c>
      <x:c r="AR37" s="20" t="n">
        <x:f>0.25*Pile_Input!$B$4*10</x:f>
        <x:v>875</x:v>
      </x:c>
      <x:c r="AS37" s="20" t="n">
        <x:f>Pile_Input!$B$7*AR37</x:f>
        <x:v>1649.3361431346414</x:v>
      </x:c>
    </x:row>
    <x:row r="38">
      <x:c r="A38" s="20" t="n">
        <x:f>Layer_Input!A38</x:f>
        <x:v>0</x:v>
      </x:c>
      <x:c r="B38" s="20" t="n">
        <x:f>Layer_Input!B38</x:f>
        <x:v>0</x:v>
      </x:c>
      <x:c r="C38" s="20" t="n">
        <x:f>Layer_Input!C38</x:f>
        <x:v>0</x:v>
      </x:c>
      <x:c r="D38" s="20" t="n">
        <x:f>Layer_Input!D38</x:f>
        <x:v>0</x:v>
      </x:c>
      <x:c r="E38" s="20" t="n">
        <x:f>Layer_Input!E38</x:f>
        <x:v>0</x:v>
      </x:c>
      <x:c r="F38" s="20" t="n">
        <x:f>Layer_Input!F38</x:f>
        <x:v>0</x:v>
      </x:c>
      <x:c r="G38" s="20" t="n">
        <x:f>Layer_Input!G38</x:f>
        <x:v>0</x:v>
      </x:c>
      <x:c r="H38" s="20" t="n">
        <x:f>Layer_Input!H38</x:f>
        <x:v>0</x:v>
      </x:c>
      <x:c r="I38" s="20" t="n">
        <x:f>MAX(C38-B38,0)</x:f>
        <x:v>0</x:v>
      </x:c>
      <x:c r="J38" s="20" t="n">
        <x:f>MAX(IF(B38&lt;Pile_Input!$B$9,D38,D38-Pile_Input!$B$10),0)</x:f>
        <x:v>0</x:v>
      </x:c>
      <x:c r="K38" s="20" t="n">
        <x:f>J38*I38</x:f>
        <x:v>0</x:v>
      </x:c>
      <x:c r="L38" s="20" t="str">
        <x:f>IF(B38="","",SUM($K$2:K38))</x:f>
      </x:c>
      <x:c r="M38" s="20" t="str">
        <x:f>IF(B38="","",L38-K38/2)</x:f>
      </x:c>
      <x:c r="N38" s="20" t="n">
        <x:f>IF(ISNUMBER(H38),0.52*H38,"")</x:f>
        <x:v>0</x:v>
      </x:c>
      <x:c r="O38" s="20" t="n">
        <x:f>IF(E38="C",AVERAGE(G38,N38),0)</x:f>
        <x:v>0</x:v>
      </x:c>
      <x:c r="P38" s="20" t="n">
        <x:f>IF(E38="C",0.93*EXP(-0.0536*O38),0)</x:f>
        <x:v>0</x:v>
      </x:c>
      <x:c r="Q38" s="20" t="n">
        <x:f>IF(E38="S",0.77*LOG10(20*95.76/MAX(M38*9.81,0.0001)),0)</x:f>
        <x:v>0</x:v>
      </x:c>
      <x:c r="R38" s="20" t="n">
        <x:f>Q38*H38</x:f>
        <x:v>0</x:v>
      </x:c>
      <x:c r="S38" s="20" t="n">
        <x:f>IF(E38="S",27.1+0.3*R38-0.00054*R38^2,0)</x:f>
        <x:v>0</x:v>
      </x:c>
      <x:c r="T38" s="20" t="n">
        <x:f>IF(E38="S",1-SIN(RADIANS(S38)),0)</x:f>
        <x:v>0</x:v>
      </x:c>
      <x:c r="U38" s="20" t="n">
        <x:f>1.5*T38</x:f>
        <x:v>0</x:v>
      </x:c>
      <x:c r="V38" s="20" t="n">
        <x:f>0.85*T38</x:f>
        <x:v>0</x:v>
      </x:c>
      <x:c r="W38" s="20" t="n">
        <x:f>IF(Pile_Input!$B$5&gt;1.5,U38,V38)</x:f>
        <x:v>0</x:v>
      </x:c>
      <x:c r="X38" s="20" t="n">
        <x:f>0.75*S38</x:f>
        <x:v>0</x:v>
      </x:c>
      <x:c r="Y38" s="20" t="n">
        <x:f>IF(E38="S",W38*TAN(RADIANS(X38)),0)</x:f>
        <x:v>0</x:v>
      </x:c>
      <x:c r="Z38" s="20" t="n">
        <x:f>P38*O38</x:f>
        <x:v>0</x:v>
      </x:c>
      <x:c r="AA38" s="20" t="n">
        <x:f>Y38*M38</x:f>
        <x:v>0</x:v>
      </x:c>
      <x:c r="AB38" s="20" t="n">
        <x:f>IF(E38="C",Z38,IF(E38="S",AA38,0))</x:f>
        <x:v>0</x:v>
      </x:c>
      <x:c r="AC38" s="20" t="n">
        <x:f>IF(B38&lt;Pile_Input!$B$8,0,MAX(AB38,0))</x:f>
        <x:v>0</x:v>
      </x:c>
      <x:c r="AD38" s="20" t="n">
        <x:f>Pile_Input!$B$7*I38</x:f>
        <x:v>0</x:v>
      </x:c>
      <x:c r="AE38" s="20" t="n">
        <x:f>AC38*AD38</x:f>
        <x:v>0</x:v>
      </x:c>
      <x:c r="AF38" s="20" t="n">
        <x:f>SUM($AE$2:AE38)</x:f>
        <x:v>2.417753626718237</x:v>
      </x:c>
      <x:c r="AG38" s="20" t="n">
        <x:f>IF(E38="S",EXP(PI()*TAN(RADIANS(S38)))*TAN(RADIANS(45+S38/2))^2*(1+TAN(RADIANS(S38))),0)</x:f>
        <x:v>0</x:v>
      </x:c>
      <x:c r="AH38" s="20" t="n">
        <x:f>IF(E38="S",0.6934*EXP(0.0974*S38),0)</x:f>
        <x:v>0</x:v>
      </x:c>
      <x:c r="AI38" s="20" t="n">
        <x:f>IF(Pile_Input!$B$5&gt;1.5,AG38,AH38)</x:f>
        <x:v>0</x:v>
      </x:c>
      <x:c r="AJ38" s="20" t="n">
        <x:f>IF(E38="S",2*(AI38+1)*TAN(RADIANS(S38)),0)</x:f>
        <x:v>0</x:v>
      </x:c>
      <x:c r="AK38" s="20" t="n">
        <x:f>MIN(9*O38,Pile_Input!$B$12)</x:f>
        <x:v>0</x:v>
      </x:c>
      <x:c r="AL38" s="20" t="n">
        <x:f>MIN((AI38-1)*L38,Pile_Input!$B$12)</x:f>
        <x:v>0</x:v>
      </x:c>
      <x:c r="AM38" s="20" t="n">
        <x:f>IF(E38="C",AK38,IF(E38="S",AL38,0))</x:f>
        <x:v>0</x:v>
      </x:c>
      <x:c r="AN38" s="20" t="e">
        <x:f>AVERAGE(INDEX($AM:$AM,MAX(2,ROW()-1)):INDEX($AM:$AM,MIN(101,ROW()+2)))</x:f>
      </x:c>
      <x:c r="AO38" s="20" t="e">
        <x:f>AN38*Pile_Input!$B$7</x:f>
      </x:c>
      <x:c r="AP38" s="20" t="e">
        <x:f>AF38+AO38</x:f>
      </x:c>
      <x:c r="AQ38" s="20" t="e">
        <x:f>AP38/Pile_Input!$B$11</x:f>
      </x:c>
      <x:c r="AR38" s="20" t="n">
        <x:f>0.25*Pile_Input!$B$4*10</x:f>
        <x:v>875</x:v>
      </x:c>
      <x:c r="AS38" s="20" t="n">
        <x:f>Pile_Input!$B$7*AR38</x:f>
        <x:v>1649.3361431346414</x:v>
      </x:c>
    </x:row>
    <x:row r="39">
      <x:c r="A39" s="20" t="n">
        <x:f>Layer_Input!A39</x:f>
        <x:v>0</x:v>
      </x:c>
      <x:c r="B39" s="20" t="n">
        <x:f>Layer_Input!B39</x:f>
        <x:v>0</x:v>
      </x:c>
      <x:c r="C39" s="20" t="n">
        <x:f>Layer_Input!C39</x:f>
        <x:v>0</x:v>
      </x:c>
      <x:c r="D39" s="20" t="n">
        <x:f>Layer_Input!D39</x:f>
        <x:v>0</x:v>
      </x:c>
      <x:c r="E39" s="20" t="n">
        <x:f>Layer_Input!E39</x:f>
        <x:v>0</x:v>
      </x:c>
      <x:c r="F39" s="20" t="n">
        <x:f>Layer_Input!F39</x:f>
        <x:v>0</x:v>
      </x:c>
      <x:c r="G39" s="20" t="n">
        <x:f>Layer_Input!G39</x:f>
        <x:v>0</x:v>
      </x:c>
      <x:c r="H39" s="20" t="n">
        <x:f>Layer_Input!H39</x:f>
        <x:v>0</x:v>
      </x:c>
      <x:c r="I39" s="20" t="n">
        <x:f>MAX(C39-B39,0)</x:f>
        <x:v>0</x:v>
      </x:c>
      <x:c r="J39" s="20" t="n">
        <x:f>MAX(IF(B39&lt;Pile_Input!$B$9,D39,D39-Pile_Input!$B$10),0)</x:f>
        <x:v>0</x:v>
      </x:c>
      <x:c r="K39" s="20" t="n">
        <x:f>J39*I39</x:f>
        <x:v>0</x:v>
      </x:c>
      <x:c r="L39" s="20" t="str">
        <x:f>IF(B39="","",SUM($K$2:K39))</x:f>
      </x:c>
      <x:c r="M39" s="20" t="str">
        <x:f>IF(B39="","",L39-K39/2)</x:f>
      </x:c>
      <x:c r="N39" s="20" t="n">
        <x:f>IF(ISNUMBER(H39),0.52*H39,"")</x:f>
        <x:v>0</x:v>
      </x:c>
      <x:c r="O39" s="20" t="n">
        <x:f>IF(E39="C",AVERAGE(G39,N39),0)</x:f>
        <x:v>0</x:v>
      </x:c>
      <x:c r="P39" s="20" t="n">
        <x:f>IF(E39="C",0.93*EXP(-0.0536*O39),0)</x:f>
        <x:v>0</x:v>
      </x:c>
      <x:c r="Q39" s="20" t="n">
        <x:f>IF(E39="S",0.77*LOG10(20*95.76/MAX(M39*9.81,0.0001)),0)</x:f>
        <x:v>0</x:v>
      </x:c>
      <x:c r="R39" s="20" t="n">
        <x:f>Q39*H39</x:f>
        <x:v>0</x:v>
      </x:c>
      <x:c r="S39" s="20" t="n">
        <x:f>IF(E39="S",27.1+0.3*R39-0.00054*R39^2,0)</x:f>
        <x:v>0</x:v>
      </x:c>
      <x:c r="T39" s="20" t="n">
        <x:f>IF(E39="S",1-SIN(RADIANS(S39)),0)</x:f>
        <x:v>0</x:v>
      </x:c>
      <x:c r="U39" s="20" t="n">
        <x:f>1.5*T39</x:f>
        <x:v>0</x:v>
      </x:c>
      <x:c r="V39" s="20" t="n">
        <x:f>0.85*T39</x:f>
        <x:v>0</x:v>
      </x:c>
      <x:c r="W39" s="20" t="n">
        <x:f>IF(Pile_Input!$B$5&gt;1.5,U39,V39)</x:f>
        <x:v>0</x:v>
      </x:c>
      <x:c r="X39" s="20" t="n">
        <x:f>0.75*S39</x:f>
        <x:v>0</x:v>
      </x:c>
      <x:c r="Y39" s="20" t="n">
        <x:f>IF(E39="S",W39*TAN(RADIANS(X39)),0)</x:f>
        <x:v>0</x:v>
      </x:c>
      <x:c r="Z39" s="20" t="n">
        <x:f>P39*O39</x:f>
        <x:v>0</x:v>
      </x:c>
      <x:c r="AA39" s="20" t="n">
        <x:f>Y39*M39</x:f>
        <x:v>0</x:v>
      </x:c>
      <x:c r="AB39" s="20" t="n">
        <x:f>IF(E39="C",Z39,IF(E39="S",AA39,0))</x:f>
        <x:v>0</x:v>
      </x:c>
      <x:c r="AC39" s="20" t="n">
        <x:f>IF(B39&lt;Pile_Input!$B$8,0,MAX(AB39,0))</x:f>
        <x:v>0</x:v>
      </x:c>
      <x:c r="AD39" s="20" t="n">
        <x:f>Pile_Input!$B$7*I39</x:f>
        <x:v>0</x:v>
      </x:c>
      <x:c r="AE39" s="20" t="n">
        <x:f>AC39*AD39</x:f>
        <x:v>0</x:v>
      </x:c>
      <x:c r="AF39" s="20" t="n">
        <x:f>SUM($AE$2:AE39)</x:f>
        <x:v>2.417753626718237</x:v>
      </x:c>
      <x:c r="AG39" s="20" t="n">
        <x:f>IF(E39="S",EXP(PI()*TAN(RADIANS(S39)))*TAN(RADIANS(45+S39/2))^2*(1+TAN(RADIANS(S39))),0)</x:f>
        <x:v>0</x:v>
      </x:c>
      <x:c r="AH39" s="20" t="n">
        <x:f>IF(E39="S",0.6934*EXP(0.0974*S39),0)</x:f>
        <x:v>0</x:v>
      </x:c>
      <x:c r="AI39" s="20" t="n">
        <x:f>IF(Pile_Input!$B$5&gt;1.5,AG39,AH39)</x:f>
        <x:v>0</x:v>
      </x:c>
      <x:c r="AJ39" s="20" t="n">
        <x:f>IF(E39="S",2*(AI39+1)*TAN(RADIANS(S39)),0)</x:f>
        <x:v>0</x:v>
      </x:c>
      <x:c r="AK39" s="20" t="n">
        <x:f>MIN(9*O39,Pile_Input!$B$12)</x:f>
        <x:v>0</x:v>
      </x:c>
      <x:c r="AL39" s="20" t="n">
        <x:f>MIN((AI39-1)*L39,Pile_Input!$B$12)</x:f>
        <x:v>0</x:v>
      </x:c>
      <x:c r="AM39" s="20" t="n">
        <x:f>IF(E39="C",AK39,IF(E39="S",AL39,0))</x:f>
        <x:v>0</x:v>
      </x:c>
      <x:c r="AN39" s="20" t="e">
        <x:f>AVERAGE(INDEX($AM:$AM,MAX(2,ROW()-1)):INDEX($AM:$AM,MIN(101,ROW()+2)))</x:f>
      </x:c>
      <x:c r="AO39" s="20" t="e">
        <x:f>AN39*Pile_Input!$B$7</x:f>
      </x:c>
      <x:c r="AP39" s="20" t="e">
        <x:f>AF39+AO39</x:f>
      </x:c>
      <x:c r="AQ39" s="20" t="e">
        <x:f>AP39/Pile_Input!$B$11</x:f>
      </x:c>
      <x:c r="AR39" s="20" t="n">
        <x:f>0.25*Pile_Input!$B$4*10</x:f>
        <x:v>875</x:v>
      </x:c>
      <x:c r="AS39" s="20" t="n">
        <x:f>Pile_Input!$B$7*AR39</x:f>
        <x:v>1649.3361431346414</x:v>
      </x:c>
    </x:row>
    <x:row r="40">
      <x:c r="A40" s="20" t="n">
        <x:f>Layer_Input!A40</x:f>
        <x:v>0</x:v>
      </x:c>
      <x:c r="B40" s="20" t="n">
        <x:f>Layer_Input!B40</x:f>
        <x:v>0</x:v>
      </x:c>
      <x:c r="C40" s="20" t="n">
        <x:f>Layer_Input!C40</x:f>
        <x:v>0</x:v>
      </x:c>
      <x:c r="D40" s="20" t="n">
        <x:f>Layer_Input!D40</x:f>
        <x:v>0</x:v>
      </x:c>
      <x:c r="E40" s="20" t="n">
        <x:f>Layer_Input!E40</x:f>
        <x:v>0</x:v>
      </x:c>
      <x:c r="F40" s="20" t="n">
        <x:f>Layer_Input!F40</x:f>
        <x:v>0</x:v>
      </x:c>
      <x:c r="G40" s="20" t="n">
        <x:f>Layer_Input!G40</x:f>
        <x:v>0</x:v>
      </x:c>
      <x:c r="H40" s="20" t="n">
        <x:f>Layer_Input!H40</x:f>
        <x:v>0</x:v>
      </x:c>
      <x:c r="I40" s="20" t="n">
        <x:f>MAX(C40-B40,0)</x:f>
        <x:v>0</x:v>
      </x:c>
      <x:c r="J40" s="20" t="n">
        <x:f>MAX(IF(B40&lt;Pile_Input!$B$9,D40,D40-Pile_Input!$B$10),0)</x:f>
        <x:v>0</x:v>
      </x:c>
      <x:c r="K40" s="20" t="n">
        <x:f>J40*I40</x:f>
        <x:v>0</x:v>
      </x:c>
      <x:c r="L40" s="20" t="str">
        <x:f>IF(B40="","",SUM($K$2:K40))</x:f>
      </x:c>
      <x:c r="M40" s="20" t="str">
        <x:f>IF(B40="","",L40-K40/2)</x:f>
      </x:c>
      <x:c r="N40" s="20" t="n">
        <x:f>IF(ISNUMBER(H40),0.52*H40,"")</x:f>
        <x:v>0</x:v>
      </x:c>
      <x:c r="O40" s="20" t="n">
        <x:f>IF(E40="C",AVERAGE(G40,N40),0)</x:f>
        <x:v>0</x:v>
      </x:c>
      <x:c r="P40" s="20" t="n">
        <x:f>IF(E40="C",0.93*EXP(-0.0536*O40),0)</x:f>
        <x:v>0</x:v>
      </x:c>
      <x:c r="Q40" s="20" t="n">
        <x:f>IF(E40="S",0.77*LOG10(20*95.76/MAX(M40*9.81,0.0001)),0)</x:f>
        <x:v>0</x:v>
      </x:c>
      <x:c r="R40" s="20" t="n">
        <x:f>Q40*H40</x:f>
        <x:v>0</x:v>
      </x:c>
      <x:c r="S40" s="20" t="n">
        <x:f>IF(E40="S",27.1+0.3*R40-0.00054*R40^2,0)</x:f>
        <x:v>0</x:v>
      </x:c>
      <x:c r="T40" s="20" t="n">
        <x:f>IF(E40="S",1-SIN(RADIANS(S40)),0)</x:f>
        <x:v>0</x:v>
      </x:c>
      <x:c r="U40" s="20" t="n">
        <x:f>1.5*T40</x:f>
        <x:v>0</x:v>
      </x:c>
      <x:c r="V40" s="20" t="n">
        <x:f>0.85*T40</x:f>
        <x:v>0</x:v>
      </x:c>
      <x:c r="W40" s="20" t="n">
        <x:f>IF(Pile_Input!$B$5&gt;1.5,U40,V40)</x:f>
        <x:v>0</x:v>
      </x:c>
      <x:c r="X40" s="20" t="n">
        <x:f>0.75*S40</x:f>
        <x:v>0</x:v>
      </x:c>
      <x:c r="Y40" s="20" t="n">
        <x:f>IF(E40="S",W40*TAN(RADIANS(X40)),0)</x:f>
        <x:v>0</x:v>
      </x:c>
      <x:c r="Z40" s="20" t="n">
        <x:f>P40*O40</x:f>
        <x:v>0</x:v>
      </x:c>
      <x:c r="AA40" s="20" t="n">
        <x:f>Y40*M40</x:f>
        <x:v>0</x:v>
      </x:c>
      <x:c r="AB40" s="20" t="n">
        <x:f>IF(E40="C",Z40,IF(E40="S",AA40,0))</x:f>
        <x:v>0</x:v>
      </x:c>
      <x:c r="AC40" s="20" t="n">
        <x:f>IF(B40&lt;Pile_Input!$B$8,0,MAX(AB40,0))</x:f>
        <x:v>0</x:v>
      </x:c>
      <x:c r="AD40" s="20" t="n">
        <x:f>Pile_Input!$B$7*I40</x:f>
        <x:v>0</x:v>
      </x:c>
      <x:c r="AE40" s="20" t="n">
        <x:f>AC40*AD40</x:f>
        <x:v>0</x:v>
      </x:c>
      <x:c r="AF40" s="20" t="n">
        <x:f>SUM($AE$2:AE40)</x:f>
        <x:v>2.417753626718237</x:v>
      </x:c>
      <x:c r="AG40" s="20" t="n">
        <x:f>IF(E40="S",EXP(PI()*TAN(RADIANS(S40)))*TAN(RADIANS(45+S40/2))^2*(1+TAN(RADIANS(S40))),0)</x:f>
        <x:v>0</x:v>
      </x:c>
      <x:c r="AH40" s="20" t="n">
        <x:f>IF(E40="S",0.6934*EXP(0.0974*S40),0)</x:f>
        <x:v>0</x:v>
      </x:c>
      <x:c r="AI40" s="20" t="n">
        <x:f>IF(Pile_Input!$B$5&gt;1.5,AG40,AH40)</x:f>
        <x:v>0</x:v>
      </x:c>
      <x:c r="AJ40" s="20" t="n">
        <x:f>IF(E40="S",2*(AI40+1)*TAN(RADIANS(S40)),0)</x:f>
        <x:v>0</x:v>
      </x:c>
      <x:c r="AK40" s="20" t="n">
        <x:f>MIN(9*O40,Pile_Input!$B$12)</x:f>
        <x:v>0</x:v>
      </x:c>
      <x:c r="AL40" s="20" t="n">
        <x:f>MIN((AI40-1)*L40,Pile_Input!$B$12)</x:f>
        <x:v>0</x:v>
      </x:c>
      <x:c r="AM40" s="20" t="n">
        <x:f>IF(E40="C",AK40,IF(E40="S",AL40,0))</x:f>
        <x:v>0</x:v>
      </x:c>
      <x:c r="AN40" s="20" t="e">
        <x:f>AVERAGE(INDEX($AM:$AM,MAX(2,ROW()-1)):INDEX($AM:$AM,MIN(101,ROW()+2)))</x:f>
      </x:c>
      <x:c r="AO40" s="20" t="e">
        <x:f>AN40*Pile_Input!$B$7</x:f>
      </x:c>
      <x:c r="AP40" s="20" t="e">
        <x:f>AF40+AO40</x:f>
      </x:c>
      <x:c r="AQ40" s="20" t="e">
        <x:f>AP40/Pile_Input!$B$11</x:f>
      </x:c>
      <x:c r="AR40" s="20" t="n">
        <x:f>0.25*Pile_Input!$B$4*10</x:f>
        <x:v>875</x:v>
      </x:c>
      <x:c r="AS40" s="20" t="n">
        <x:f>Pile_Input!$B$7*AR40</x:f>
        <x:v>1649.3361431346414</x:v>
      </x:c>
    </x:row>
    <x:row r="41">
      <x:c r="A41" s="20" t="n">
        <x:f>Layer_Input!A41</x:f>
        <x:v>0</x:v>
      </x:c>
      <x:c r="B41" s="20" t="n">
        <x:f>Layer_Input!B41</x:f>
        <x:v>0</x:v>
      </x:c>
      <x:c r="C41" s="20" t="n">
        <x:f>Layer_Input!C41</x:f>
        <x:v>0</x:v>
      </x:c>
      <x:c r="D41" s="20" t="n">
        <x:f>Layer_Input!D41</x:f>
        <x:v>0</x:v>
      </x:c>
      <x:c r="E41" s="20" t="n">
        <x:f>Layer_Input!E41</x:f>
        <x:v>0</x:v>
      </x:c>
      <x:c r="F41" s="20" t="n">
        <x:f>Layer_Input!F41</x:f>
        <x:v>0</x:v>
      </x:c>
      <x:c r="G41" s="20" t="n">
        <x:f>Layer_Input!G41</x:f>
        <x:v>0</x:v>
      </x:c>
      <x:c r="H41" s="20" t="n">
        <x:f>Layer_Input!H41</x:f>
        <x:v>0</x:v>
      </x:c>
      <x:c r="I41" s="20" t="n">
        <x:f>MAX(C41-B41,0)</x:f>
        <x:v>0</x:v>
      </x:c>
      <x:c r="J41" s="20" t="n">
        <x:f>MAX(IF(B41&lt;Pile_Input!$B$9,D41,D41-Pile_Input!$B$10),0)</x:f>
        <x:v>0</x:v>
      </x:c>
      <x:c r="K41" s="20" t="n">
        <x:f>J41*I41</x:f>
        <x:v>0</x:v>
      </x:c>
      <x:c r="L41" s="20" t="str">
        <x:f>IF(B41="","",SUM($K$2:K41))</x:f>
      </x:c>
      <x:c r="M41" s="20" t="str">
        <x:f>IF(B41="","",L41-K41/2)</x:f>
      </x:c>
      <x:c r="N41" s="20" t="n">
        <x:f>IF(ISNUMBER(H41),0.52*H41,"")</x:f>
        <x:v>0</x:v>
      </x:c>
      <x:c r="O41" s="20" t="n">
        <x:f>IF(E41="C",AVERAGE(G41,N41),0)</x:f>
        <x:v>0</x:v>
      </x:c>
      <x:c r="P41" s="20" t="n">
        <x:f>IF(E41="C",0.93*EXP(-0.0536*O41),0)</x:f>
        <x:v>0</x:v>
      </x:c>
      <x:c r="Q41" s="20" t="n">
        <x:f>IF(E41="S",0.77*LOG10(20*95.76/MAX(M41*9.81,0.0001)),0)</x:f>
        <x:v>0</x:v>
      </x:c>
      <x:c r="R41" s="20" t="n">
        <x:f>Q41*H41</x:f>
        <x:v>0</x:v>
      </x:c>
      <x:c r="S41" s="20" t="n">
        <x:f>IF(E41="S",27.1+0.3*R41-0.00054*R41^2,0)</x:f>
        <x:v>0</x:v>
      </x:c>
      <x:c r="T41" s="20" t="n">
        <x:f>IF(E41="S",1-SIN(RADIANS(S41)),0)</x:f>
        <x:v>0</x:v>
      </x:c>
      <x:c r="U41" s="20" t="n">
        <x:f>1.5*T41</x:f>
        <x:v>0</x:v>
      </x:c>
      <x:c r="V41" s="20" t="n">
        <x:f>0.85*T41</x:f>
        <x:v>0</x:v>
      </x:c>
      <x:c r="W41" s="20" t="n">
        <x:f>IF(Pile_Input!$B$5&gt;1.5,U41,V41)</x:f>
        <x:v>0</x:v>
      </x:c>
      <x:c r="X41" s="20" t="n">
        <x:f>0.75*S41</x:f>
        <x:v>0</x:v>
      </x:c>
      <x:c r="Y41" s="20" t="n">
        <x:f>IF(E41="S",W41*TAN(RADIANS(X41)),0)</x:f>
        <x:v>0</x:v>
      </x:c>
      <x:c r="Z41" s="20" t="n">
        <x:f>P41*O41</x:f>
        <x:v>0</x:v>
      </x:c>
      <x:c r="AA41" s="20" t="n">
        <x:f>Y41*M41</x:f>
        <x:v>0</x:v>
      </x:c>
      <x:c r="AB41" s="20" t="n">
        <x:f>IF(E41="C",Z41,IF(E41="S",AA41,0))</x:f>
        <x:v>0</x:v>
      </x:c>
      <x:c r="AC41" s="20" t="n">
        <x:f>IF(B41&lt;Pile_Input!$B$8,0,MAX(AB41,0))</x:f>
        <x:v>0</x:v>
      </x:c>
      <x:c r="AD41" s="20" t="n">
        <x:f>Pile_Input!$B$7*I41</x:f>
        <x:v>0</x:v>
      </x:c>
      <x:c r="AE41" s="20" t="n">
        <x:f>AC41*AD41</x:f>
        <x:v>0</x:v>
      </x:c>
      <x:c r="AF41" s="20" t="n">
        <x:f>SUM($AE$2:AE41)</x:f>
        <x:v>2.417753626718237</x:v>
      </x:c>
      <x:c r="AG41" s="20" t="n">
        <x:f>IF(E41="S",EXP(PI()*TAN(RADIANS(S41)))*TAN(RADIANS(45+S41/2))^2*(1+TAN(RADIANS(S41))),0)</x:f>
        <x:v>0</x:v>
      </x:c>
      <x:c r="AH41" s="20" t="n">
        <x:f>IF(E41="S",0.6934*EXP(0.0974*S41),0)</x:f>
        <x:v>0</x:v>
      </x:c>
      <x:c r="AI41" s="20" t="n">
        <x:f>IF(Pile_Input!$B$5&gt;1.5,AG41,AH41)</x:f>
        <x:v>0</x:v>
      </x:c>
      <x:c r="AJ41" s="20" t="n">
        <x:f>IF(E41="S",2*(AI41+1)*TAN(RADIANS(S41)),0)</x:f>
        <x:v>0</x:v>
      </x:c>
      <x:c r="AK41" s="20" t="n">
        <x:f>MIN(9*O41,Pile_Input!$B$12)</x:f>
        <x:v>0</x:v>
      </x:c>
      <x:c r="AL41" s="20" t="n">
        <x:f>MIN((AI41-1)*L41,Pile_Input!$B$12)</x:f>
        <x:v>0</x:v>
      </x:c>
      <x:c r="AM41" s="20" t="n">
        <x:f>IF(E41="C",AK41,IF(E41="S",AL41,0))</x:f>
        <x:v>0</x:v>
      </x:c>
      <x:c r="AN41" s="20" t="e">
        <x:f>AVERAGE(INDEX($AM:$AM,MAX(2,ROW()-1)):INDEX($AM:$AM,MIN(101,ROW()+2)))</x:f>
      </x:c>
      <x:c r="AO41" s="20" t="e">
        <x:f>AN41*Pile_Input!$B$7</x:f>
      </x:c>
      <x:c r="AP41" s="20" t="e">
        <x:f>AF41+AO41</x:f>
      </x:c>
      <x:c r="AQ41" s="20" t="e">
        <x:f>AP41/Pile_Input!$B$11</x:f>
      </x:c>
      <x:c r="AR41" s="20" t="n">
        <x:f>0.25*Pile_Input!$B$4*10</x:f>
        <x:v>875</x:v>
      </x:c>
      <x:c r="AS41" s="20" t="n">
        <x:f>Pile_Input!$B$7*AR41</x:f>
        <x:v>1649.3361431346414</x:v>
      </x:c>
    </x:row>
    <x:row r="42">
      <x:c r="A42" s="20" t="n">
        <x:f>Layer_Input!A42</x:f>
        <x:v>0</x:v>
      </x:c>
      <x:c r="B42" s="20" t="n">
        <x:f>Layer_Input!B42</x:f>
        <x:v>0</x:v>
      </x:c>
      <x:c r="C42" s="20" t="n">
        <x:f>Layer_Input!C42</x:f>
        <x:v>0</x:v>
      </x:c>
      <x:c r="D42" s="20" t="n">
        <x:f>Layer_Input!D42</x:f>
        <x:v>0</x:v>
      </x:c>
      <x:c r="E42" s="20" t="n">
        <x:f>Layer_Input!E42</x:f>
        <x:v>0</x:v>
      </x:c>
      <x:c r="F42" s="20" t="n">
        <x:f>Layer_Input!F42</x:f>
        <x:v>0</x:v>
      </x:c>
      <x:c r="G42" s="20" t="n">
        <x:f>Layer_Input!G42</x:f>
        <x:v>0</x:v>
      </x:c>
      <x:c r="H42" s="20" t="n">
        <x:f>Layer_Input!H42</x:f>
        <x:v>0</x:v>
      </x:c>
      <x:c r="I42" s="20" t="n">
        <x:f>MAX(C42-B42,0)</x:f>
        <x:v>0</x:v>
      </x:c>
      <x:c r="J42" s="20" t="n">
        <x:f>MAX(IF(B42&lt;Pile_Input!$B$9,D42,D42-Pile_Input!$B$10),0)</x:f>
        <x:v>0</x:v>
      </x:c>
      <x:c r="K42" s="20" t="n">
        <x:f>J42*I42</x:f>
        <x:v>0</x:v>
      </x:c>
      <x:c r="L42" s="20" t="str">
        <x:f>IF(B42="","",SUM($K$2:K42))</x:f>
      </x:c>
      <x:c r="M42" s="20" t="str">
        <x:f>IF(B42="","",L42-K42/2)</x:f>
      </x:c>
      <x:c r="N42" s="20" t="n">
        <x:f>IF(ISNUMBER(H42),0.52*H42,"")</x:f>
        <x:v>0</x:v>
      </x:c>
      <x:c r="O42" s="20" t="n">
        <x:f>IF(E42="C",AVERAGE(G42,N42),0)</x:f>
        <x:v>0</x:v>
      </x:c>
      <x:c r="P42" s="20" t="n">
        <x:f>IF(E42="C",0.93*EXP(-0.0536*O42),0)</x:f>
        <x:v>0</x:v>
      </x:c>
      <x:c r="Q42" s="20" t="n">
        <x:f>IF(E42="S",0.77*LOG10(20*95.76/MAX(M42*9.81,0.0001)),0)</x:f>
        <x:v>0</x:v>
      </x:c>
      <x:c r="R42" s="20" t="n">
        <x:f>Q42*H42</x:f>
        <x:v>0</x:v>
      </x:c>
      <x:c r="S42" s="20" t="n">
        <x:f>IF(E42="S",27.1+0.3*R42-0.00054*R42^2,0)</x:f>
        <x:v>0</x:v>
      </x:c>
      <x:c r="T42" s="20" t="n">
        <x:f>IF(E42="S",1-SIN(RADIANS(S42)),0)</x:f>
        <x:v>0</x:v>
      </x:c>
      <x:c r="U42" s="20" t="n">
        <x:f>1.5*T42</x:f>
        <x:v>0</x:v>
      </x:c>
      <x:c r="V42" s="20" t="n">
        <x:f>0.85*T42</x:f>
        <x:v>0</x:v>
      </x:c>
      <x:c r="W42" s="20" t="n">
        <x:f>IF(Pile_Input!$B$5&gt;1.5,U42,V42)</x:f>
        <x:v>0</x:v>
      </x:c>
      <x:c r="X42" s="20" t="n">
        <x:f>0.75*S42</x:f>
        <x:v>0</x:v>
      </x:c>
      <x:c r="Y42" s="20" t="n">
        <x:f>IF(E42="S",W42*TAN(RADIANS(X42)),0)</x:f>
        <x:v>0</x:v>
      </x:c>
      <x:c r="Z42" s="20" t="n">
        <x:f>P42*O42</x:f>
        <x:v>0</x:v>
      </x:c>
      <x:c r="AA42" s="20" t="n">
        <x:f>Y42*M42</x:f>
        <x:v>0</x:v>
      </x:c>
      <x:c r="AB42" s="20" t="n">
        <x:f>IF(E42="C",Z42,IF(E42="S",AA42,0))</x:f>
        <x:v>0</x:v>
      </x:c>
      <x:c r="AC42" s="20" t="n">
        <x:f>IF(B42&lt;Pile_Input!$B$8,0,MAX(AB42,0))</x:f>
        <x:v>0</x:v>
      </x:c>
      <x:c r="AD42" s="20" t="n">
        <x:f>Pile_Input!$B$7*I42</x:f>
        <x:v>0</x:v>
      </x:c>
      <x:c r="AE42" s="20" t="n">
        <x:f>AC42*AD42</x:f>
        <x:v>0</x:v>
      </x:c>
      <x:c r="AF42" s="20" t="n">
        <x:f>SUM($AE$2:AE42)</x:f>
        <x:v>2.417753626718237</x:v>
      </x:c>
      <x:c r="AG42" s="20" t="n">
        <x:f>IF(E42="S",EXP(PI()*TAN(RADIANS(S42)))*TAN(RADIANS(45+S42/2))^2*(1+TAN(RADIANS(S42))),0)</x:f>
        <x:v>0</x:v>
      </x:c>
      <x:c r="AH42" s="20" t="n">
        <x:f>IF(E42="S",0.6934*EXP(0.0974*S42),0)</x:f>
        <x:v>0</x:v>
      </x:c>
      <x:c r="AI42" s="20" t="n">
        <x:f>IF(Pile_Input!$B$5&gt;1.5,AG42,AH42)</x:f>
        <x:v>0</x:v>
      </x:c>
      <x:c r="AJ42" s="20" t="n">
        <x:f>IF(E42="S",2*(AI42+1)*TAN(RADIANS(S42)),0)</x:f>
        <x:v>0</x:v>
      </x:c>
      <x:c r="AK42" s="20" t="n">
        <x:f>MIN(9*O42,Pile_Input!$B$12)</x:f>
        <x:v>0</x:v>
      </x:c>
      <x:c r="AL42" s="20" t="n">
        <x:f>MIN((AI42-1)*L42,Pile_Input!$B$12)</x:f>
        <x:v>0</x:v>
      </x:c>
      <x:c r="AM42" s="20" t="n">
        <x:f>IF(E42="C",AK42,IF(E42="S",AL42,0))</x:f>
        <x:v>0</x:v>
      </x:c>
      <x:c r="AN42" s="20" t="e">
        <x:f>AVERAGE(INDEX($AM:$AM,MAX(2,ROW()-1)):INDEX($AM:$AM,MIN(101,ROW()+2)))</x:f>
      </x:c>
      <x:c r="AO42" s="20" t="e">
        <x:f>AN42*Pile_Input!$B$7</x:f>
      </x:c>
      <x:c r="AP42" s="20" t="e">
        <x:f>AF42+AO42</x:f>
      </x:c>
      <x:c r="AQ42" s="20" t="e">
        <x:f>AP42/Pile_Input!$B$11</x:f>
      </x:c>
      <x:c r="AR42" s="20" t="n">
        <x:f>0.25*Pile_Input!$B$4*10</x:f>
        <x:v>875</x:v>
      </x:c>
      <x:c r="AS42" s="20" t="n">
        <x:f>Pile_Input!$B$7*AR42</x:f>
        <x:v>1649.3361431346414</x:v>
      </x:c>
    </x:row>
    <x:row r="43">
      <x:c r="A43" s="20" t="n">
        <x:f>Layer_Input!A43</x:f>
        <x:v>0</x:v>
      </x:c>
      <x:c r="B43" s="20" t="n">
        <x:f>Layer_Input!B43</x:f>
        <x:v>0</x:v>
      </x:c>
      <x:c r="C43" s="20" t="n">
        <x:f>Layer_Input!C43</x:f>
        <x:v>0</x:v>
      </x:c>
      <x:c r="D43" s="20" t="n">
        <x:f>Layer_Input!D43</x:f>
        <x:v>0</x:v>
      </x:c>
      <x:c r="E43" s="20" t="n">
        <x:f>Layer_Input!E43</x:f>
        <x:v>0</x:v>
      </x:c>
      <x:c r="F43" s="20" t="n">
        <x:f>Layer_Input!F43</x:f>
        <x:v>0</x:v>
      </x:c>
      <x:c r="G43" s="20" t="n">
        <x:f>Layer_Input!G43</x:f>
        <x:v>0</x:v>
      </x:c>
      <x:c r="H43" s="20" t="n">
        <x:f>Layer_Input!H43</x:f>
        <x:v>0</x:v>
      </x:c>
      <x:c r="I43" s="20" t="n">
        <x:f>MAX(C43-B43,0)</x:f>
        <x:v>0</x:v>
      </x:c>
      <x:c r="J43" s="20" t="n">
        <x:f>MAX(IF(B43&lt;Pile_Input!$B$9,D43,D43-Pile_Input!$B$10),0)</x:f>
        <x:v>0</x:v>
      </x:c>
      <x:c r="K43" s="20" t="n">
        <x:f>J43*I43</x:f>
        <x:v>0</x:v>
      </x:c>
      <x:c r="L43" s="20" t="str">
        <x:f>IF(B43="","",SUM($K$2:K43))</x:f>
      </x:c>
      <x:c r="M43" s="20" t="str">
        <x:f>IF(B43="","",L43-K43/2)</x:f>
      </x:c>
      <x:c r="N43" s="20" t="n">
        <x:f>IF(ISNUMBER(H43),0.52*H43,"")</x:f>
        <x:v>0</x:v>
      </x:c>
      <x:c r="O43" s="20" t="n">
        <x:f>IF(E43="C",AVERAGE(G43,N43),0)</x:f>
        <x:v>0</x:v>
      </x:c>
      <x:c r="P43" s="20" t="n">
        <x:f>IF(E43="C",0.93*EXP(-0.0536*O43),0)</x:f>
        <x:v>0</x:v>
      </x:c>
      <x:c r="Q43" s="20" t="n">
        <x:f>IF(E43="S",0.77*LOG10(20*95.76/MAX(M43*9.81,0.0001)),0)</x:f>
        <x:v>0</x:v>
      </x:c>
      <x:c r="R43" s="20" t="n">
        <x:f>Q43*H43</x:f>
        <x:v>0</x:v>
      </x:c>
      <x:c r="S43" s="20" t="n">
        <x:f>IF(E43="S",27.1+0.3*R43-0.00054*R43^2,0)</x:f>
        <x:v>0</x:v>
      </x:c>
      <x:c r="T43" s="20" t="n">
        <x:f>IF(E43="S",1-SIN(RADIANS(S43)),0)</x:f>
        <x:v>0</x:v>
      </x:c>
      <x:c r="U43" s="20" t="n">
        <x:f>1.5*T43</x:f>
        <x:v>0</x:v>
      </x:c>
      <x:c r="V43" s="20" t="n">
        <x:f>0.85*T43</x:f>
        <x:v>0</x:v>
      </x:c>
      <x:c r="W43" s="20" t="n">
        <x:f>IF(Pile_Input!$B$5&gt;1.5,U43,V43)</x:f>
        <x:v>0</x:v>
      </x:c>
      <x:c r="X43" s="20" t="n">
        <x:f>0.75*S43</x:f>
        <x:v>0</x:v>
      </x:c>
      <x:c r="Y43" s="20" t="n">
        <x:f>IF(E43="S",W43*TAN(RADIANS(X43)),0)</x:f>
        <x:v>0</x:v>
      </x:c>
      <x:c r="Z43" s="20" t="n">
        <x:f>P43*O43</x:f>
        <x:v>0</x:v>
      </x:c>
      <x:c r="AA43" s="20" t="n">
        <x:f>Y43*M43</x:f>
        <x:v>0</x:v>
      </x:c>
      <x:c r="AB43" s="20" t="n">
        <x:f>IF(E43="C",Z43,IF(E43="S",AA43,0))</x:f>
        <x:v>0</x:v>
      </x:c>
      <x:c r="AC43" s="20" t="n">
        <x:f>IF(B43&lt;Pile_Input!$B$8,0,MAX(AB43,0))</x:f>
        <x:v>0</x:v>
      </x:c>
      <x:c r="AD43" s="20" t="n">
        <x:f>Pile_Input!$B$7*I43</x:f>
        <x:v>0</x:v>
      </x:c>
      <x:c r="AE43" s="20" t="n">
        <x:f>AC43*AD43</x:f>
        <x:v>0</x:v>
      </x:c>
      <x:c r="AF43" s="20" t="n">
        <x:f>SUM($AE$2:AE43)</x:f>
        <x:v>2.417753626718237</x:v>
      </x:c>
      <x:c r="AG43" s="20" t="n">
        <x:f>IF(E43="S",EXP(PI()*TAN(RADIANS(S43)))*TAN(RADIANS(45+S43/2))^2*(1+TAN(RADIANS(S43))),0)</x:f>
        <x:v>0</x:v>
      </x:c>
      <x:c r="AH43" s="20" t="n">
        <x:f>IF(E43="S",0.6934*EXP(0.0974*S43),0)</x:f>
        <x:v>0</x:v>
      </x:c>
      <x:c r="AI43" s="20" t="n">
        <x:f>IF(Pile_Input!$B$5&gt;1.5,AG43,AH43)</x:f>
        <x:v>0</x:v>
      </x:c>
      <x:c r="AJ43" s="20" t="n">
        <x:f>IF(E43="S",2*(AI43+1)*TAN(RADIANS(S43)),0)</x:f>
        <x:v>0</x:v>
      </x:c>
      <x:c r="AK43" s="20" t="n">
        <x:f>MIN(9*O43,Pile_Input!$B$12)</x:f>
        <x:v>0</x:v>
      </x:c>
      <x:c r="AL43" s="20" t="n">
        <x:f>MIN((AI43-1)*L43,Pile_Input!$B$12)</x:f>
        <x:v>0</x:v>
      </x:c>
      <x:c r="AM43" s="20" t="n">
        <x:f>IF(E43="C",AK43,IF(E43="S",AL43,0))</x:f>
        <x:v>0</x:v>
      </x:c>
      <x:c r="AN43" s="20" t="e">
        <x:f>AVERAGE(INDEX($AM:$AM,MAX(2,ROW()-1)):INDEX($AM:$AM,MIN(101,ROW()+2)))</x:f>
      </x:c>
      <x:c r="AO43" s="20" t="e">
        <x:f>AN43*Pile_Input!$B$7</x:f>
      </x:c>
      <x:c r="AP43" s="20" t="e">
        <x:f>AF43+AO43</x:f>
      </x:c>
      <x:c r="AQ43" s="20" t="e">
        <x:f>AP43/Pile_Input!$B$11</x:f>
      </x:c>
      <x:c r="AR43" s="20" t="n">
        <x:f>0.25*Pile_Input!$B$4*10</x:f>
        <x:v>875</x:v>
      </x:c>
      <x:c r="AS43" s="20" t="n">
        <x:f>Pile_Input!$B$7*AR43</x:f>
        <x:v>1649.3361431346414</x:v>
      </x:c>
    </x:row>
    <x:row r="44">
      <x:c r="A44" s="20" t="n">
        <x:f>Layer_Input!A44</x:f>
        <x:v>0</x:v>
      </x:c>
      <x:c r="B44" s="20" t="n">
        <x:f>Layer_Input!B44</x:f>
        <x:v>0</x:v>
      </x:c>
      <x:c r="C44" s="20" t="n">
        <x:f>Layer_Input!C44</x:f>
        <x:v>0</x:v>
      </x:c>
      <x:c r="D44" s="20" t="n">
        <x:f>Layer_Input!D44</x:f>
        <x:v>0</x:v>
      </x:c>
      <x:c r="E44" s="20" t="n">
        <x:f>Layer_Input!E44</x:f>
        <x:v>0</x:v>
      </x:c>
      <x:c r="F44" s="20" t="n">
        <x:f>Layer_Input!F44</x:f>
        <x:v>0</x:v>
      </x:c>
      <x:c r="G44" s="20" t="n">
        <x:f>Layer_Input!G44</x:f>
        <x:v>0</x:v>
      </x:c>
      <x:c r="H44" s="20" t="n">
        <x:f>Layer_Input!H44</x:f>
        <x:v>0</x:v>
      </x:c>
      <x:c r="I44" s="20" t="n">
        <x:f>MAX(C44-B44,0)</x:f>
        <x:v>0</x:v>
      </x:c>
      <x:c r="J44" s="20" t="n">
        <x:f>MAX(IF(B44&lt;Pile_Input!$B$9,D44,D44-Pile_Input!$B$10),0)</x:f>
        <x:v>0</x:v>
      </x:c>
      <x:c r="K44" s="20" t="n">
        <x:f>J44*I44</x:f>
        <x:v>0</x:v>
      </x:c>
      <x:c r="L44" s="20" t="str">
        <x:f>IF(B44="","",SUM($K$2:K44))</x:f>
      </x:c>
      <x:c r="M44" s="20" t="str">
        <x:f>IF(B44="","",L44-K44/2)</x:f>
      </x:c>
      <x:c r="N44" s="20" t="n">
        <x:f>IF(ISNUMBER(H44),0.52*H44,"")</x:f>
        <x:v>0</x:v>
      </x:c>
      <x:c r="O44" s="20" t="n">
        <x:f>IF(E44="C",AVERAGE(G44,N44),0)</x:f>
        <x:v>0</x:v>
      </x:c>
      <x:c r="P44" s="20" t="n">
        <x:f>IF(E44="C",0.93*EXP(-0.0536*O44),0)</x:f>
        <x:v>0</x:v>
      </x:c>
      <x:c r="Q44" s="20" t="n">
        <x:f>IF(E44="S",0.77*LOG10(20*95.76/MAX(M44*9.81,0.0001)),0)</x:f>
        <x:v>0</x:v>
      </x:c>
      <x:c r="R44" s="20" t="n">
        <x:f>Q44*H44</x:f>
        <x:v>0</x:v>
      </x:c>
      <x:c r="S44" s="20" t="n">
        <x:f>IF(E44="S",27.1+0.3*R44-0.00054*R44^2,0)</x:f>
        <x:v>0</x:v>
      </x:c>
      <x:c r="T44" s="20" t="n">
        <x:f>IF(E44="S",1-SIN(RADIANS(S44)),0)</x:f>
        <x:v>0</x:v>
      </x:c>
      <x:c r="U44" s="20" t="n">
        <x:f>1.5*T44</x:f>
        <x:v>0</x:v>
      </x:c>
      <x:c r="V44" s="20" t="n">
        <x:f>0.85*T44</x:f>
        <x:v>0</x:v>
      </x:c>
      <x:c r="W44" s="20" t="n">
        <x:f>IF(Pile_Input!$B$5&gt;1.5,U44,V44)</x:f>
        <x:v>0</x:v>
      </x:c>
      <x:c r="X44" s="20" t="n">
        <x:f>0.75*S44</x:f>
        <x:v>0</x:v>
      </x:c>
      <x:c r="Y44" s="20" t="n">
        <x:f>IF(E44="S",W44*TAN(RADIANS(X44)),0)</x:f>
        <x:v>0</x:v>
      </x:c>
      <x:c r="Z44" s="20" t="n">
        <x:f>P44*O44</x:f>
        <x:v>0</x:v>
      </x:c>
      <x:c r="AA44" s="20" t="n">
        <x:f>Y44*M44</x:f>
        <x:v>0</x:v>
      </x:c>
      <x:c r="AB44" s="20" t="n">
        <x:f>IF(E44="C",Z44,IF(E44="S",AA44,0))</x:f>
        <x:v>0</x:v>
      </x:c>
      <x:c r="AC44" s="20" t="n">
        <x:f>IF(B44&lt;Pile_Input!$B$8,0,MAX(AB44,0))</x:f>
        <x:v>0</x:v>
      </x:c>
      <x:c r="AD44" s="20" t="n">
        <x:f>Pile_Input!$B$7*I44</x:f>
        <x:v>0</x:v>
      </x:c>
      <x:c r="AE44" s="20" t="n">
        <x:f>AC44*AD44</x:f>
        <x:v>0</x:v>
      </x:c>
      <x:c r="AF44" s="20" t="n">
        <x:f>SUM($AE$2:AE44)</x:f>
        <x:v>2.417753626718237</x:v>
      </x:c>
      <x:c r="AG44" s="20" t="n">
        <x:f>IF(E44="S",EXP(PI()*TAN(RADIANS(S44)))*TAN(RADIANS(45+S44/2))^2*(1+TAN(RADIANS(S44))),0)</x:f>
        <x:v>0</x:v>
      </x:c>
      <x:c r="AH44" s="20" t="n">
        <x:f>IF(E44="S",0.6934*EXP(0.0974*S44),0)</x:f>
        <x:v>0</x:v>
      </x:c>
      <x:c r="AI44" s="20" t="n">
        <x:f>IF(Pile_Input!$B$5&gt;1.5,AG44,AH44)</x:f>
        <x:v>0</x:v>
      </x:c>
      <x:c r="AJ44" s="20" t="n">
        <x:f>IF(E44="S",2*(AI44+1)*TAN(RADIANS(S44)),0)</x:f>
        <x:v>0</x:v>
      </x:c>
      <x:c r="AK44" s="20" t="n">
        <x:f>MIN(9*O44,Pile_Input!$B$12)</x:f>
        <x:v>0</x:v>
      </x:c>
      <x:c r="AL44" s="20" t="n">
        <x:f>MIN((AI44-1)*L44,Pile_Input!$B$12)</x:f>
        <x:v>0</x:v>
      </x:c>
      <x:c r="AM44" s="20" t="n">
        <x:f>IF(E44="C",AK44,IF(E44="S",AL44,0))</x:f>
        <x:v>0</x:v>
      </x:c>
      <x:c r="AN44" s="20" t="e">
        <x:f>AVERAGE(INDEX($AM:$AM,MAX(2,ROW()-1)):INDEX($AM:$AM,MIN(101,ROW()+2)))</x:f>
      </x:c>
      <x:c r="AO44" s="20" t="e">
        <x:f>AN44*Pile_Input!$B$7</x:f>
      </x:c>
      <x:c r="AP44" s="20" t="e">
        <x:f>AF44+AO44</x:f>
      </x:c>
      <x:c r="AQ44" s="20" t="e">
        <x:f>AP44/Pile_Input!$B$11</x:f>
      </x:c>
      <x:c r="AR44" s="20" t="n">
        <x:f>0.25*Pile_Input!$B$4*10</x:f>
        <x:v>875</x:v>
      </x:c>
      <x:c r="AS44" s="20" t="n">
        <x:f>Pile_Input!$B$7*AR44</x:f>
        <x:v>1649.3361431346414</x:v>
      </x:c>
    </x:row>
    <x:row r="45">
      <x:c r="A45" s="20" t="n">
        <x:f>Layer_Input!A45</x:f>
        <x:v>0</x:v>
      </x:c>
      <x:c r="B45" s="20" t="n">
        <x:f>Layer_Input!B45</x:f>
        <x:v>0</x:v>
      </x:c>
      <x:c r="C45" s="20" t="n">
        <x:f>Layer_Input!C45</x:f>
        <x:v>0</x:v>
      </x:c>
      <x:c r="D45" s="20" t="n">
        <x:f>Layer_Input!D45</x:f>
        <x:v>0</x:v>
      </x:c>
      <x:c r="E45" s="20" t="n">
        <x:f>Layer_Input!E45</x:f>
        <x:v>0</x:v>
      </x:c>
      <x:c r="F45" s="20" t="n">
        <x:f>Layer_Input!F45</x:f>
        <x:v>0</x:v>
      </x:c>
      <x:c r="G45" s="20" t="n">
        <x:f>Layer_Input!G45</x:f>
        <x:v>0</x:v>
      </x:c>
      <x:c r="H45" s="20" t="n">
        <x:f>Layer_Input!H45</x:f>
        <x:v>0</x:v>
      </x:c>
      <x:c r="I45" s="20" t="n">
        <x:f>MAX(C45-B45,0)</x:f>
        <x:v>0</x:v>
      </x:c>
      <x:c r="J45" s="20" t="n">
        <x:f>MAX(IF(B45&lt;Pile_Input!$B$9,D45,D45-Pile_Input!$B$10),0)</x:f>
        <x:v>0</x:v>
      </x:c>
      <x:c r="K45" s="20" t="n">
        <x:f>J45*I45</x:f>
        <x:v>0</x:v>
      </x:c>
      <x:c r="L45" s="20" t="str">
        <x:f>IF(B45="","",SUM($K$2:K45))</x:f>
      </x:c>
      <x:c r="M45" s="20" t="str">
        <x:f>IF(B45="","",L45-K45/2)</x:f>
      </x:c>
      <x:c r="N45" s="20" t="n">
        <x:f>IF(ISNUMBER(H45),0.52*H45,"")</x:f>
        <x:v>0</x:v>
      </x:c>
      <x:c r="O45" s="20" t="n">
        <x:f>IF(E45="C",AVERAGE(G45,N45),0)</x:f>
        <x:v>0</x:v>
      </x:c>
      <x:c r="P45" s="20" t="n">
        <x:f>IF(E45="C",0.93*EXP(-0.0536*O45),0)</x:f>
        <x:v>0</x:v>
      </x:c>
      <x:c r="Q45" s="20" t="n">
        <x:f>IF(E45="S",0.77*LOG10(20*95.76/MAX(M45*9.81,0.0001)),0)</x:f>
        <x:v>0</x:v>
      </x:c>
      <x:c r="R45" s="20" t="n">
        <x:f>Q45*H45</x:f>
        <x:v>0</x:v>
      </x:c>
      <x:c r="S45" s="20" t="n">
        <x:f>IF(E45="S",27.1+0.3*R45-0.00054*R45^2,0)</x:f>
        <x:v>0</x:v>
      </x:c>
      <x:c r="T45" s="20" t="n">
        <x:f>IF(E45="S",1-SIN(RADIANS(S45)),0)</x:f>
        <x:v>0</x:v>
      </x:c>
      <x:c r="U45" s="20" t="n">
        <x:f>1.5*T45</x:f>
        <x:v>0</x:v>
      </x:c>
      <x:c r="V45" s="20" t="n">
        <x:f>0.85*T45</x:f>
        <x:v>0</x:v>
      </x:c>
      <x:c r="W45" s="20" t="n">
        <x:f>IF(Pile_Input!$B$5&gt;1.5,U45,V45)</x:f>
        <x:v>0</x:v>
      </x:c>
      <x:c r="X45" s="20" t="n">
        <x:f>0.75*S45</x:f>
        <x:v>0</x:v>
      </x:c>
      <x:c r="Y45" s="20" t="n">
        <x:f>IF(E45="S",W45*TAN(RADIANS(X45)),0)</x:f>
        <x:v>0</x:v>
      </x:c>
      <x:c r="Z45" s="20" t="n">
        <x:f>P45*O45</x:f>
        <x:v>0</x:v>
      </x:c>
      <x:c r="AA45" s="20" t="n">
        <x:f>Y45*M45</x:f>
        <x:v>0</x:v>
      </x:c>
      <x:c r="AB45" s="20" t="n">
        <x:f>IF(E45="C",Z45,IF(E45="S",AA45,0))</x:f>
        <x:v>0</x:v>
      </x:c>
      <x:c r="AC45" s="20" t="n">
        <x:f>IF(B45&lt;Pile_Input!$B$8,0,MAX(AB45,0))</x:f>
        <x:v>0</x:v>
      </x:c>
      <x:c r="AD45" s="20" t="n">
        <x:f>Pile_Input!$B$7*I45</x:f>
        <x:v>0</x:v>
      </x:c>
      <x:c r="AE45" s="20" t="n">
        <x:f>AC45*AD45</x:f>
        <x:v>0</x:v>
      </x:c>
      <x:c r="AF45" s="20" t="n">
        <x:f>SUM($AE$2:AE45)</x:f>
        <x:v>2.417753626718237</x:v>
      </x:c>
      <x:c r="AG45" s="20" t="n">
        <x:f>IF(E45="S",EXP(PI()*TAN(RADIANS(S45)))*TAN(RADIANS(45+S45/2))^2*(1+TAN(RADIANS(S45))),0)</x:f>
        <x:v>0</x:v>
      </x:c>
      <x:c r="AH45" s="20" t="n">
        <x:f>IF(E45="S",0.6934*EXP(0.0974*S45),0)</x:f>
        <x:v>0</x:v>
      </x:c>
      <x:c r="AI45" s="20" t="n">
        <x:f>IF(Pile_Input!$B$5&gt;1.5,AG45,AH45)</x:f>
        <x:v>0</x:v>
      </x:c>
      <x:c r="AJ45" s="20" t="n">
        <x:f>IF(E45="S",2*(AI45+1)*TAN(RADIANS(S45)),0)</x:f>
        <x:v>0</x:v>
      </x:c>
      <x:c r="AK45" s="20" t="n">
        <x:f>MIN(9*O45,Pile_Input!$B$12)</x:f>
        <x:v>0</x:v>
      </x:c>
      <x:c r="AL45" s="20" t="n">
        <x:f>MIN((AI45-1)*L45,Pile_Input!$B$12)</x:f>
        <x:v>0</x:v>
      </x:c>
      <x:c r="AM45" s="20" t="n">
        <x:f>IF(E45="C",AK45,IF(E45="S",AL45,0))</x:f>
        <x:v>0</x:v>
      </x:c>
      <x:c r="AN45" s="20" t="e">
        <x:f>AVERAGE(INDEX($AM:$AM,MAX(2,ROW()-1)):INDEX($AM:$AM,MIN(101,ROW()+2)))</x:f>
      </x:c>
      <x:c r="AO45" s="20" t="e">
        <x:f>AN45*Pile_Input!$B$7</x:f>
      </x:c>
      <x:c r="AP45" s="20" t="e">
        <x:f>AF45+AO45</x:f>
      </x:c>
      <x:c r="AQ45" s="20" t="e">
        <x:f>AP45/Pile_Input!$B$11</x:f>
      </x:c>
      <x:c r="AR45" s="20" t="n">
        <x:f>0.25*Pile_Input!$B$4*10</x:f>
        <x:v>875</x:v>
      </x:c>
      <x:c r="AS45" s="20" t="n">
        <x:f>Pile_Input!$B$7*AR45</x:f>
        <x:v>1649.3361431346414</x:v>
      </x:c>
    </x:row>
    <x:row r="46">
      <x:c r="A46" s="20" t="n">
        <x:f>Layer_Input!A46</x:f>
        <x:v>0</x:v>
      </x:c>
      <x:c r="B46" s="20" t="n">
        <x:f>Layer_Input!B46</x:f>
        <x:v>0</x:v>
      </x:c>
      <x:c r="C46" s="20" t="n">
        <x:f>Layer_Input!C46</x:f>
        <x:v>0</x:v>
      </x:c>
      <x:c r="D46" s="20" t="n">
        <x:f>Layer_Input!D46</x:f>
        <x:v>0</x:v>
      </x:c>
      <x:c r="E46" s="20" t="n">
        <x:f>Layer_Input!E46</x:f>
        <x:v>0</x:v>
      </x:c>
      <x:c r="F46" s="20" t="n">
        <x:f>Layer_Input!F46</x:f>
        <x:v>0</x:v>
      </x:c>
      <x:c r="G46" s="20" t="n">
        <x:f>Layer_Input!G46</x:f>
        <x:v>0</x:v>
      </x:c>
      <x:c r="H46" s="20" t="n">
        <x:f>Layer_Input!H46</x:f>
        <x:v>0</x:v>
      </x:c>
      <x:c r="I46" s="20" t="n">
        <x:f>MAX(C46-B46,0)</x:f>
        <x:v>0</x:v>
      </x:c>
      <x:c r="J46" s="20" t="n">
        <x:f>MAX(IF(B46&lt;Pile_Input!$B$9,D46,D46-Pile_Input!$B$10),0)</x:f>
        <x:v>0</x:v>
      </x:c>
      <x:c r="K46" s="20" t="n">
        <x:f>J46*I46</x:f>
        <x:v>0</x:v>
      </x:c>
      <x:c r="L46" s="20" t="str">
        <x:f>IF(B46="","",SUM($K$2:K46))</x:f>
      </x:c>
      <x:c r="M46" s="20" t="str">
        <x:f>IF(B46="","",L46-K46/2)</x:f>
      </x:c>
      <x:c r="N46" s="20" t="n">
        <x:f>IF(ISNUMBER(H46),0.52*H46,"")</x:f>
        <x:v>0</x:v>
      </x:c>
      <x:c r="O46" s="20" t="n">
        <x:f>IF(E46="C",AVERAGE(G46,N46),0)</x:f>
        <x:v>0</x:v>
      </x:c>
      <x:c r="P46" s="20" t="n">
        <x:f>IF(E46="C",0.93*EXP(-0.0536*O46),0)</x:f>
        <x:v>0</x:v>
      </x:c>
      <x:c r="Q46" s="20" t="n">
        <x:f>IF(E46="S",0.77*LOG10(20*95.76/MAX(M46*9.81,0.0001)),0)</x:f>
        <x:v>0</x:v>
      </x:c>
      <x:c r="R46" s="20" t="n">
        <x:f>Q46*H46</x:f>
        <x:v>0</x:v>
      </x:c>
      <x:c r="S46" s="20" t="n">
        <x:f>IF(E46="S",27.1+0.3*R46-0.00054*R46^2,0)</x:f>
        <x:v>0</x:v>
      </x:c>
      <x:c r="T46" s="20" t="n">
        <x:f>IF(E46="S",1-SIN(RADIANS(S46)),0)</x:f>
        <x:v>0</x:v>
      </x:c>
      <x:c r="U46" s="20" t="n">
        <x:f>1.5*T46</x:f>
        <x:v>0</x:v>
      </x:c>
      <x:c r="V46" s="20" t="n">
        <x:f>0.85*T46</x:f>
        <x:v>0</x:v>
      </x:c>
      <x:c r="W46" s="20" t="n">
        <x:f>IF(Pile_Input!$B$5&gt;1.5,U46,V46)</x:f>
        <x:v>0</x:v>
      </x:c>
      <x:c r="X46" s="20" t="n">
        <x:f>0.75*S46</x:f>
        <x:v>0</x:v>
      </x:c>
      <x:c r="Y46" s="20" t="n">
        <x:f>IF(E46="S",W46*TAN(RADIANS(X46)),0)</x:f>
        <x:v>0</x:v>
      </x:c>
      <x:c r="Z46" s="20" t="n">
        <x:f>P46*O46</x:f>
        <x:v>0</x:v>
      </x:c>
      <x:c r="AA46" s="20" t="n">
        <x:f>Y46*M46</x:f>
        <x:v>0</x:v>
      </x:c>
      <x:c r="AB46" s="20" t="n">
        <x:f>IF(E46="C",Z46,IF(E46="S",AA46,0))</x:f>
        <x:v>0</x:v>
      </x:c>
      <x:c r="AC46" s="20" t="n">
        <x:f>IF(B46&lt;Pile_Input!$B$8,0,MAX(AB46,0))</x:f>
        <x:v>0</x:v>
      </x:c>
      <x:c r="AD46" s="20" t="n">
        <x:f>Pile_Input!$B$7*I46</x:f>
        <x:v>0</x:v>
      </x:c>
      <x:c r="AE46" s="20" t="n">
        <x:f>AC46*AD46</x:f>
        <x:v>0</x:v>
      </x:c>
      <x:c r="AF46" s="20" t="n">
        <x:f>SUM($AE$2:AE46)</x:f>
        <x:v>2.417753626718237</x:v>
      </x:c>
      <x:c r="AG46" s="20" t="n">
        <x:f>IF(E46="S",EXP(PI()*TAN(RADIANS(S46)))*TAN(RADIANS(45+S46/2))^2*(1+TAN(RADIANS(S46))),0)</x:f>
        <x:v>0</x:v>
      </x:c>
      <x:c r="AH46" s="20" t="n">
        <x:f>IF(E46="S",0.6934*EXP(0.0974*S46),0)</x:f>
        <x:v>0</x:v>
      </x:c>
      <x:c r="AI46" s="20" t="n">
        <x:f>IF(Pile_Input!$B$5&gt;1.5,AG46,AH46)</x:f>
        <x:v>0</x:v>
      </x:c>
      <x:c r="AJ46" s="20" t="n">
        <x:f>IF(E46="S",2*(AI46+1)*TAN(RADIANS(S46)),0)</x:f>
        <x:v>0</x:v>
      </x:c>
      <x:c r="AK46" s="20" t="n">
        <x:f>MIN(9*O46,Pile_Input!$B$12)</x:f>
        <x:v>0</x:v>
      </x:c>
      <x:c r="AL46" s="20" t="n">
        <x:f>MIN((AI46-1)*L46,Pile_Input!$B$12)</x:f>
        <x:v>0</x:v>
      </x:c>
      <x:c r="AM46" s="20" t="n">
        <x:f>IF(E46="C",AK46,IF(E46="S",AL46,0))</x:f>
        <x:v>0</x:v>
      </x:c>
      <x:c r="AN46" s="20" t="e">
        <x:f>AVERAGE(INDEX($AM:$AM,MAX(2,ROW()-1)):INDEX($AM:$AM,MIN(101,ROW()+2)))</x:f>
      </x:c>
      <x:c r="AO46" s="20" t="e">
        <x:f>AN46*Pile_Input!$B$7</x:f>
      </x:c>
      <x:c r="AP46" s="20" t="e">
        <x:f>AF46+AO46</x:f>
      </x:c>
      <x:c r="AQ46" s="20" t="e">
        <x:f>AP46/Pile_Input!$B$11</x:f>
      </x:c>
      <x:c r="AR46" s="20" t="n">
        <x:f>0.25*Pile_Input!$B$4*10</x:f>
        <x:v>875</x:v>
      </x:c>
      <x:c r="AS46" s="20" t="n">
        <x:f>Pile_Input!$B$7*AR46</x:f>
        <x:v>1649.3361431346414</x:v>
      </x:c>
    </x:row>
    <x:row r="47">
      <x:c r="A47" s="20" t="n">
        <x:f>Layer_Input!A47</x:f>
        <x:v>0</x:v>
      </x:c>
      <x:c r="B47" s="20" t="n">
        <x:f>Layer_Input!B47</x:f>
        <x:v>0</x:v>
      </x:c>
      <x:c r="C47" s="20" t="n">
        <x:f>Layer_Input!C47</x:f>
        <x:v>0</x:v>
      </x:c>
      <x:c r="D47" s="20" t="n">
        <x:f>Layer_Input!D47</x:f>
        <x:v>0</x:v>
      </x:c>
      <x:c r="E47" s="20" t="n">
        <x:f>Layer_Input!E47</x:f>
        <x:v>0</x:v>
      </x:c>
      <x:c r="F47" s="20" t="n">
        <x:f>Layer_Input!F47</x:f>
        <x:v>0</x:v>
      </x:c>
      <x:c r="G47" s="20" t="n">
        <x:f>Layer_Input!G47</x:f>
        <x:v>0</x:v>
      </x:c>
      <x:c r="H47" s="20" t="n">
        <x:f>Layer_Input!H47</x:f>
        <x:v>0</x:v>
      </x:c>
      <x:c r="I47" s="20" t="n">
        <x:f>MAX(C47-B47,0)</x:f>
        <x:v>0</x:v>
      </x:c>
      <x:c r="J47" s="20" t="n">
        <x:f>MAX(IF(B47&lt;Pile_Input!$B$9,D47,D47-Pile_Input!$B$10),0)</x:f>
        <x:v>0</x:v>
      </x:c>
      <x:c r="K47" s="20" t="n">
        <x:f>J47*I47</x:f>
        <x:v>0</x:v>
      </x:c>
      <x:c r="L47" s="20" t="str">
        <x:f>IF(B47="","",SUM($K$2:K47))</x:f>
      </x:c>
      <x:c r="M47" s="20" t="str">
        <x:f>IF(B47="","",L47-K47/2)</x:f>
      </x:c>
      <x:c r="N47" s="20" t="n">
        <x:f>IF(ISNUMBER(H47),0.52*H47,"")</x:f>
        <x:v>0</x:v>
      </x:c>
      <x:c r="O47" s="20" t="n">
        <x:f>IF(E47="C",AVERAGE(G47,N47),0)</x:f>
        <x:v>0</x:v>
      </x:c>
      <x:c r="P47" s="20" t="n">
        <x:f>IF(E47="C",0.93*EXP(-0.0536*O47),0)</x:f>
        <x:v>0</x:v>
      </x:c>
      <x:c r="Q47" s="20" t="n">
        <x:f>IF(E47="S",0.77*LOG10(20*95.76/MAX(M47*9.81,0.0001)),0)</x:f>
        <x:v>0</x:v>
      </x:c>
      <x:c r="R47" s="20" t="n">
        <x:f>Q47*H47</x:f>
        <x:v>0</x:v>
      </x:c>
      <x:c r="S47" s="20" t="n">
        <x:f>IF(E47="S",27.1+0.3*R47-0.00054*R47^2,0)</x:f>
        <x:v>0</x:v>
      </x:c>
      <x:c r="T47" s="20" t="n">
        <x:f>IF(E47="S",1-SIN(RADIANS(S47)),0)</x:f>
        <x:v>0</x:v>
      </x:c>
      <x:c r="U47" s="20" t="n">
        <x:f>1.5*T47</x:f>
        <x:v>0</x:v>
      </x:c>
      <x:c r="V47" s="20" t="n">
        <x:f>0.85*T47</x:f>
        <x:v>0</x:v>
      </x:c>
      <x:c r="W47" s="20" t="n">
        <x:f>IF(Pile_Input!$B$5&gt;1.5,U47,V47)</x:f>
        <x:v>0</x:v>
      </x:c>
      <x:c r="X47" s="20" t="n">
        <x:f>0.75*S47</x:f>
        <x:v>0</x:v>
      </x:c>
      <x:c r="Y47" s="20" t="n">
        <x:f>IF(E47="S",W47*TAN(RADIANS(X47)),0)</x:f>
        <x:v>0</x:v>
      </x:c>
      <x:c r="Z47" s="20" t="n">
        <x:f>P47*O47</x:f>
        <x:v>0</x:v>
      </x:c>
      <x:c r="AA47" s="20" t="n">
        <x:f>Y47*M47</x:f>
        <x:v>0</x:v>
      </x:c>
      <x:c r="AB47" s="20" t="n">
        <x:f>IF(E47="C",Z47,IF(E47="S",AA47,0))</x:f>
        <x:v>0</x:v>
      </x:c>
      <x:c r="AC47" s="20" t="n">
        <x:f>IF(B47&lt;Pile_Input!$B$8,0,MAX(AB47,0))</x:f>
        <x:v>0</x:v>
      </x:c>
      <x:c r="AD47" s="20" t="n">
        <x:f>Pile_Input!$B$7*I47</x:f>
        <x:v>0</x:v>
      </x:c>
      <x:c r="AE47" s="20" t="n">
        <x:f>AC47*AD47</x:f>
        <x:v>0</x:v>
      </x:c>
      <x:c r="AF47" s="20" t="n">
        <x:f>SUM($AE$2:AE47)</x:f>
        <x:v>2.417753626718237</x:v>
      </x:c>
      <x:c r="AG47" s="20" t="n">
        <x:f>IF(E47="S",EXP(PI()*TAN(RADIANS(S47)))*TAN(RADIANS(45+S47/2))^2*(1+TAN(RADIANS(S47))),0)</x:f>
        <x:v>0</x:v>
      </x:c>
      <x:c r="AH47" s="20" t="n">
        <x:f>IF(E47="S",0.6934*EXP(0.0974*S47),0)</x:f>
        <x:v>0</x:v>
      </x:c>
      <x:c r="AI47" s="20" t="n">
        <x:f>IF(Pile_Input!$B$5&gt;1.5,AG47,AH47)</x:f>
        <x:v>0</x:v>
      </x:c>
      <x:c r="AJ47" s="20" t="n">
        <x:f>IF(E47="S",2*(AI47+1)*TAN(RADIANS(S47)),0)</x:f>
        <x:v>0</x:v>
      </x:c>
      <x:c r="AK47" s="20" t="n">
        <x:f>MIN(9*O47,Pile_Input!$B$12)</x:f>
        <x:v>0</x:v>
      </x:c>
      <x:c r="AL47" s="20" t="n">
        <x:f>MIN((AI47-1)*L47,Pile_Input!$B$12)</x:f>
        <x:v>0</x:v>
      </x:c>
      <x:c r="AM47" s="20" t="n">
        <x:f>IF(E47="C",AK47,IF(E47="S",AL47,0))</x:f>
        <x:v>0</x:v>
      </x:c>
      <x:c r="AN47" s="20" t="e">
        <x:f>AVERAGE(INDEX($AM:$AM,MAX(2,ROW()-1)):INDEX($AM:$AM,MIN(101,ROW()+2)))</x:f>
      </x:c>
      <x:c r="AO47" s="20" t="e">
        <x:f>AN47*Pile_Input!$B$7</x:f>
      </x:c>
      <x:c r="AP47" s="20" t="e">
        <x:f>AF47+AO47</x:f>
      </x:c>
      <x:c r="AQ47" s="20" t="e">
        <x:f>AP47/Pile_Input!$B$11</x:f>
      </x:c>
      <x:c r="AR47" s="20" t="n">
        <x:f>0.25*Pile_Input!$B$4*10</x:f>
        <x:v>875</x:v>
      </x:c>
      <x:c r="AS47" s="20" t="n">
        <x:f>Pile_Input!$B$7*AR47</x:f>
        <x:v>1649.3361431346414</x:v>
      </x:c>
    </x:row>
    <x:row r="48">
      <x:c r="A48" s="20" t="n">
        <x:f>Layer_Input!A48</x:f>
        <x:v>0</x:v>
      </x:c>
      <x:c r="B48" s="20" t="n">
        <x:f>Layer_Input!B48</x:f>
        <x:v>0</x:v>
      </x:c>
      <x:c r="C48" s="20" t="n">
        <x:f>Layer_Input!C48</x:f>
        <x:v>0</x:v>
      </x:c>
      <x:c r="D48" s="20" t="n">
        <x:f>Layer_Input!D48</x:f>
        <x:v>0</x:v>
      </x:c>
      <x:c r="E48" s="20" t="n">
        <x:f>Layer_Input!E48</x:f>
        <x:v>0</x:v>
      </x:c>
      <x:c r="F48" s="20" t="n">
        <x:f>Layer_Input!F48</x:f>
        <x:v>0</x:v>
      </x:c>
      <x:c r="G48" s="20" t="n">
        <x:f>Layer_Input!G48</x:f>
        <x:v>0</x:v>
      </x:c>
      <x:c r="H48" s="20" t="n">
        <x:f>Layer_Input!H48</x:f>
        <x:v>0</x:v>
      </x:c>
      <x:c r="I48" s="20" t="n">
        <x:f>MAX(C48-B48,0)</x:f>
        <x:v>0</x:v>
      </x:c>
      <x:c r="J48" s="20" t="n">
        <x:f>MAX(IF(B48&lt;Pile_Input!$B$9,D48,D48-Pile_Input!$B$10),0)</x:f>
        <x:v>0</x:v>
      </x:c>
      <x:c r="K48" s="20" t="n">
        <x:f>J48*I48</x:f>
        <x:v>0</x:v>
      </x:c>
      <x:c r="L48" s="20" t="str">
        <x:f>IF(B48="","",SUM($K$2:K48))</x:f>
      </x:c>
      <x:c r="M48" s="20" t="str">
        <x:f>IF(B48="","",L48-K48/2)</x:f>
      </x:c>
      <x:c r="N48" s="20" t="n">
        <x:f>IF(ISNUMBER(H48),0.52*H48,"")</x:f>
        <x:v>0</x:v>
      </x:c>
      <x:c r="O48" s="20" t="n">
        <x:f>IF(E48="C",AVERAGE(G48,N48),0)</x:f>
        <x:v>0</x:v>
      </x:c>
      <x:c r="P48" s="20" t="n">
        <x:f>IF(E48="C",0.93*EXP(-0.0536*O48),0)</x:f>
        <x:v>0</x:v>
      </x:c>
      <x:c r="Q48" s="20" t="n">
        <x:f>IF(E48="S",0.77*LOG10(20*95.76/MAX(M48*9.81,0.0001)),0)</x:f>
        <x:v>0</x:v>
      </x:c>
      <x:c r="R48" s="20" t="n">
        <x:f>Q48*H48</x:f>
        <x:v>0</x:v>
      </x:c>
      <x:c r="S48" s="20" t="n">
        <x:f>IF(E48="S",27.1+0.3*R48-0.00054*R48^2,0)</x:f>
        <x:v>0</x:v>
      </x:c>
      <x:c r="T48" s="20" t="n">
        <x:f>IF(E48="S",1-SIN(RADIANS(S48)),0)</x:f>
        <x:v>0</x:v>
      </x:c>
      <x:c r="U48" s="20" t="n">
        <x:f>1.5*T48</x:f>
        <x:v>0</x:v>
      </x:c>
      <x:c r="V48" s="20" t="n">
        <x:f>0.85*T48</x:f>
        <x:v>0</x:v>
      </x:c>
      <x:c r="W48" s="20" t="n">
        <x:f>IF(Pile_Input!$B$5&gt;1.5,U48,V48)</x:f>
        <x:v>0</x:v>
      </x:c>
      <x:c r="X48" s="20" t="n">
        <x:f>0.75*S48</x:f>
        <x:v>0</x:v>
      </x:c>
      <x:c r="Y48" s="20" t="n">
        <x:f>IF(E48="S",W48*TAN(RADIANS(X48)),0)</x:f>
        <x:v>0</x:v>
      </x:c>
      <x:c r="Z48" s="20" t="n">
        <x:f>P48*O48</x:f>
        <x:v>0</x:v>
      </x:c>
      <x:c r="AA48" s="20" t="n">
        <x:f>Y48*M48</x:f>
        <x:v>0</x:v>
      </x:c>
      <x:c r="AB48" s="20" t="n">
        <x:f>IF(E48="C",Z48,IF(E48="S",AA48,0))</x:f>
        <x:v>0</x:v>
      </x:c>
      <x:c r="AC48" s="20" t="n">
        <x:f>IF(B48&lt;Pile_Input!$B$8,0,MAX(AB48,0))</x:f>
        <x:v>0</x:v>
      </x:c>
      <x:c r="AD48" s="20" t="n">
        <x:f>Pile_Input!$B$7*I48</x:f>
        <x:v>0</x:v>
      </x:c>
      <x:c r="AE48" s="20" t="n">
        <x:f>AC48*AD48</x:f>
        <x:v>0</x:v>
      </x:c>
      <x:c r="AF48" s="20" t="n">
        <x:f>SUM($AE$2:AE48)</x:f>
        <x:v>2.417753626718237</x:v>
      </x:c>
      <x:c r="AG48" s="20" t="n">
        <x:f>IF(E48="S",EXP(PI()*TAN(RADIANS(S48)))*TAN(RADIANS(45+S48/2))^2*(1+TAN(RADIANS(S48))),0)</x:f>
        <x:v>0</x:v>
      </x:c>
      <x:c r="AH48" s="20" t="n">
        <x:f>IF(E48="S",0.6934*EXP(0.0974*S48),0)</x:f>
        <x:v>0</x:v>
      </x:c>
      <x:c r="AI48" s="20" t="n">
        <x:f>IF(Pile_Input!$B$5&gt;1.5,AG48,AH48)</x:f>
        <x:v>0</x:v>
      </x:c>
      <x:c r="AJ48" s="20" t="n">
        <x:f>IF(E48="S",2*(AI48+1)*TAN(RADIANS(S48)),0)</x:f>
        <x:v>0</x:v>
      </x:c>
      <x:c r="AK48" s="20" t="n">
        <x:f>MIN(9*O48,Pile_Input!$B$12)</x:f>
        <x:v>0</x:v>
      </x:c>
      <x:c r="AL48" s="20" t="n">
        <x:f>MIN((AI48-1)*L48,Pile_Input!$B$12)</x:f>
        <x:v>0</x:v>
      </x:c>
      <x:c r="AM48" s="20" t="n">
        <x:f>IF(E48="C",AK48,IF(E48="S",AL48,0))</x:f>
        <x:v>0</x:v>
      </x:c>
      <x:c r="AN48" s="20" t="e">
        <x:f>AVERAGE(INDEX($AM:$AM,MAX(2,ROW()-1)):INDEX($AM:$AM,MIN(101,ROW()+2)))</x:f>
      </x:c>
      <x:c r="AO48" s="20" t="e">
        <x:f>AN48*Pile_Input!$B$7</x:f>
      </x:c>
      <x:c r="AP48" s="20" t="e">
        <x:f>AF48+AO48</x:f>
      </x:c>
      <x:c r="AQ48" s="20" t="e">
        <x:f>AP48/Pile_Input!$B$11</x:f>
      </x:c>
      <x:c r="AR48" s="20" t="n">
        <x:f>0.25*Pile_Input!$B$4*10</x:f>
        <x:v>875</x:v>
      </x:c>
      <x:c r="AS48" s="20" t="n">
        <x:f>Pile_Input!$B$7*AR48</x:f>
        <x:v>1649.3361431346414</x:v>
      </x:c>
    </x:row>
    <x:row r="49">
      <x:c r="A49" s="20" t="n">
        <x:f>Layer_Input!A49</x:f>
        <x:v>0</x:v>
      </x:c>
      <x:c r="B49" s="20" t="n">
        <x:f>Layer_Input!B49</x:f>
        <x:v>0</x:v>
      </x:c>
      <x:c r="C49" s="20" t="n">
        <x:f>Layer_Input!C49</x:f>
        <x:v>0</x:v>
      </x:c>
      <x:c r="D49" s="20" t="n">
        <x:f>Layer_Input!D49</x:f>
        <x:v>0</x:v>
      </x:c>
      <x:c r="E49" s="20" t="n">
        <x:f>Layer_Input!E49</x:f>
        <x:v>0</x:v>
      </x:c>
      <x:c r="F49" s="20" t="n">
        <x:f>Layer_Input!F49</x:f>
        <x:v>0</x:v>
      </x:c>
      <x:c r="G49" s="20" t="n">
        <x:f>Layer_Input!G49</x:f>
        <x:v>0</x:v>
      </x:c>
      <x:c r="H49" s="20" t="n">
        <x:f>Layer_Input!H49</x:f>
        <x:v>0</x:v>
      </x:c>
      <x:c r="I49" s="20" t="n">
        <x:f>MAX(C49-B49,0)</x:f>
        <x:v>0</x:v>
      </x:c>
      <x:c r="J49" s="20" t="n">
        <x:f>MAX(IF(B49&lt;Pile_Input!$B$9,D49,D49-Pile_Input!$B$10),0)</x:f>
        <x:v>0</x:v>
      </x:c>
      <x:c r="K49" s="20" t="n">
        <x:f>J49*I49</x:f>
        <x:v>0</x:v>
      </x:c>
      <x:c r="L49" s="20" t="str">
        <x:f>IF(B49="","",SUM($K$2:K49))</x:f>
      </x:c>
      <x:c r="M49" s="20" t="str">
        <x:f>IF(B49="","",L49-K49/2)</x:f>
      </x:c>
      <x:c r="N49" s="20" t="n">
        <x:f>IF(ISNUMBER(H49),0.52*H49,"")</x:f>
        <x:v>0</x:v>
      </x:c>
      <x:c r="O49" s="20" t="n">
        <x:f>IF(E49="C",AVERAGE(G49,N49),0)</x:f>
        <x:v>0</x:v>
      </x:c>
      <x:c r="P49" s="20" t="n">
        <x:f>IF(E49="C",0.93*EXP(-0.0536*O49),0)</x:f>
        <x:v>0</x:v>
      </x:c>
      <x:c r="Q49" s="20" t="n">
        <x:f>IF(E49="S",0.77*LOG10(20*95.76/MAX(M49*9.81,0.0001)),0)</x:f>
        <x:v>0</x:v>
      </x:c>
      <x:c r="R49" s="20" t="n">
        <x:f>Q49*H49</x:f>
        <x:v>0</x:v>
      </x:c>
      <x:c r="S49" s="20" t="n">
        <x:f>IF(E49="S",27.1+0.3*R49-0.00054*R49^2,0)</x:f>
        <x:v>0</x:v>
      </x:c>
      <x:c r="T49" s="20" t="n">
        <x:f>IF(E49="S",1-SIN(RADIANS(S49)),0)</x:f>
        <x:v>0</x:v>
      </x:c>
      <x:c r="U49" s="20" t="n">
        <x:f>1.5*T49</x:f>
        <x:v>0</x:v>
      </x:c>
      <x:c r="V49" s="20" t="n">
        <x:f>0.85*T49</x:f>
        <x:v>0</x:v>
      </x:c>
      <x:c r="W49" s="20" t="n">
        <x:f>IF(Pile_Input!$B$5&gt;1.5,U49,V49)</x:f>
        <x:v>0</x:v>
      </x:c>
      <x:c r="X49" s="20" t="n">
        <x:f>0.75*S49</x:f>
        <x:v>0</x:v>
      </x:c>
      <x:c r="Y49" s="20" t="n">
        <x:f>IF(E49="S",W49*TAN(RADIANS(X49)),0)</x:f>
        <x:v>0</x:v>
      </x:c>
      <x:c r="Z49" s="20" t="n">
        <x:f>P49*O49</x:f>
        <x:v>0</x:v>
      </x:c>
      <x:c r="AA49" s="20" t="n">
        <x:f>Y49*M49</x:f>
        <x:v>0</x:v>
      </x:c>
      <x:c r="AB49" s="20" t="n">
        <x:f>IF(E49="C",Z49,IF(E49="S",AA49,0))</x:f>
        <x:v>0</x:v>
      </x:c>
      <x:c r="AC49" s="20" t="n">
        <x:f>IF(B49&lt;Pile_Input!$B$8,0,MAX(AB49,0))</x:f>
        <x:v>0</x:v>
      </x:c>
      <x:c r="AD49" s="20" t="n">
        <x:f>Pile_Input!$B$7*I49</x:f>
        <x:v>0</x:v>
      </x:c>
      <x:c r="AE49" s="20" t="n">
        <x:f>AC49*AD49</x:f>
        <x:v>0</x:v>
      </x:c>
      <x:c r="AF49" s="20" t="n">
        <x:f>SUM($AE$2:AE49)</x:f>
        <x:v>2.417753626718237</x:v>
      </x:c>
      <x:c r="AG49" s="20" t="n">
        <x:f>IF(E49="S",EXP(PI()*TAN(RADIANS(S49)))*TAN(RADIANS(45+S49/2))^2*(1+TAN(RADIANS(S49))),0)</x:f>
        <x:v>0</x:v>
      </x:c>
      <x:c r="AH49" s="20" t="n">
        <x:f>IF(E49="S",0.6934*EXP(0.0974*S49),0)</x:f>
        <x:v>0</x:v>
      </x:c>
      <x:c r="AI49" s="20" t="n">
        <x:f>IF(Pile_Input!$B$5&gt;1.5,AG49,AH49)</x:f>
        <x:v>0</x:v>
      </x:c>
      <x:c r="AJ49" s="20" t="n">
        <x:f>IF(E49="S",2*(AI49+1)*TAN(RADIANS(S49)),0)</x:f>
        <x:v>0</x:v>
      </x:c>
      <x:c r="AK49" s="20" t="n">
        <x:f>MIN(9*O49,Pile_Input!$B$12)</x:f>
        <x:v>0</x:v>
      </x:c>
      <x:c r="AL49" s="20" t="n">
        <x:f>MIN((AI49-1)*L49,Pile_Input!$B$12)</x:f>
        <x:v>0</x:v>
      </x:c>
      <x:c r="AM49" s="20" t="n">
        <x:f>IF(E49="C",AK49,IF(E49="S",AL49,0))</x:f>
        <x:v>0</x:v>
      </x:c>
      <x:c r="AN49" s="20" t="e">
        <x:f>AVERAGE(INDEX($AM:$AM,MAX(2,ROW()-1)):INDEX($AM:$AM,MIN(101,ROW()+2)))</x:f>
      </x:c>
      <x:c r="AO49" s="20" t="e">
        <x:f>AN49*Pile_Input!$B$7</x:f>
      </x:c>
      <x:c r="AP49" s="20" t="e">
        <x:f>AF49+AO49</x:f>
      </x:c>
      <x:c r="AQ49" s="20" t="e">
        <x:f>AP49/Pile_Input!$B$11</x:f>
      </x:c>
      <x:c r="AR49" s="20" t="n">
        <x:f>0.25*Pile_Input!$B$4*10</x:f>
        <x:v>875</x:v>
      </x:c>
      <x:c r="AS49" s="20" t="n">
        <x:f>Pile_Input!$B$7*AR49</x:f>
        <x:v>1649.3361431346414</x:v>
      </x:c>
    </x:row>
    <x:row r="50">
      <x:c r="A50" s="20" t="n">
        <x:f>Layer_Input!A50</x:f>
        <x:v>0</x:v>
      </x:c>
      <x:c r="B50" s="20" t="n">
        <x:f>Layer_Input!B50</x:f>
        <x:v>0</x:v>
      </x:c>
      <x:c r="C50" s="20" t="n">
        <x:f>Layer_Input!C50</x:f>
        <x:v>0</x:v>
      </x:c>
      <x:c r="D50" s="20" t="n">
        <x:f>Layer_Input!D50</x:f>
        <x:v>0</x:v>
      </x:c>
      <x:c r="E50" s="20" t="n">
        <x:f>Layer_Input!E50</x:f>
        <x:v>0</x:v>
      </x:c>
      <x:c r="F50" s="20" t="n">
        <x:f>Layer_Input!F50</x:f>
        <x:v>0</x:v>
      </x:c>
      <x:c r="G50" s="20" t="n">
        <x:f>Layer_Input!G50</x:f>
        <x:v>0</x:v>
      </x:c>
      <x:c r="H50" s="20" t="n">
        <x:f>Layer_Input!H50</x:f>
        <x:v>0</x:v>
      </x:c>
      <x:c r="I50" s="20" t="n">
        <x:f>MAX(C50-B50,0)</x:f>
        <x:v>0</x:v>
      </x:c>
      <x:c r="J50" s="20" t="n">
        <x:f>MAX(IF(B50&lt;Pile_Input!$B$9,D50,D50-Pile_Input!$B$10),0)</x:f>
        <x:v>0</x:v>
      </x:c>
      <x:c r="K50" s="20" t="n">
        <x:f>J50*I50</x:f>
        <x:v>0</x:v>
      </x:c>
      <x:c r="L50" s="20" t="str">
        <x:f>IF(B50="","",SUM($K$2:K50))</x:f>
      </x:c>
      <x:c r="M50" s="20" t="str">
        <x:f>IF(B50="","",L50-K50/2)</x:f>
      </x:c>
      <x:c r="N50" s="20" t="n">
        <x:f>IF(ISNUMBER(H50),0.52*H50,"")</x:f>
        <x:v>0</x:v>
      </x:c>
      <x:c r="O50" s="20" t="n">
        <x:f>IF(E50="C",AVERAGE(G50,N50),0)</x:f>
        <x:v>0</x:v>
      </x:c>
      <x:c r="P50" s="20" t="n">
        <x:f>IF(E50="C",0.93*EXP(-0.0536*O50),0)</x:f>
        <x:v>0</x:v>
      </x:c>
      <x:c r="Q50" s="20" t="n">
        <x:f>IF(E50="S",0.77*LOG10(20*95.76/MAX(M50*9.81,0.0001)),0)</x:f>
        <x:v>0</x:v>
      </x:c>
      <x:c r="R50" s="20" t="n">
        <x:f>Q50*H50</x:f>
        <x:v>0</x:v>
      </x:c>
      <x:c r="S50" s="20" t="n">
        <x:f>IF(E50="S",27.1+0.3*R50-0.00054*R50^2,0)</x:f>
        <x:v>0</x:v>
      </x:c>
      <x:c r="T50" s="20" t="n">
        <x:f>IF(E50="S",1-SIN(RADIANS(S50)),0)</x:f>
        <x:v>0</x:v>
      </x:c>
      <x:c r="U50" s="20" t="n">
        <x:f>1.5*T50</x:f>
        <x:v>0</x:v>
      </x:c>
      <x:c r="V50" s="20" t="n">
        <x:f>0.85*T50</x:f>
        <x:v>0</x:v>
      </x:c>
      <x:c r="W50" s="20" t="n">
        <x:f>IF(Pile_Input!$B$5&gt;1.5,U50,V50)</x:f>
        <x:v>0</x:v>
      </x:c>
      <x:c r="X50" s="20" t="n">
        <x:f>0.75*S50</x:f>
        <x:v>0</x:v>
      </x:c>
      <x:c r="Y50" s="20" t="n">
        <x:f>IF(E50="S",W50*TAN(RADIANS(X50)),0)</x:f>
        <x:v>0</x:v>
      </x:c>
      <x:c r="Z50" s="20" t="n">
        <x:f>P50*O50</x:f>
        <x:v>0</x:v>
      </x:c>
      <x:c r="AA50" s="20" t="n">
        <x:f>Y50*M50</x:f>
        <x:v>0</x:v>
      </x:c>
      <x:c r="AB50" s="20" t="n">
        <x:f>IF(E50="C",Z50,IF(E50="S",AA50,0))</x:f>
        <x:v>0</x:v>
      </x:c>
      <x:c r="AC50" s="20" t="n">
        <x:f>IF(B50&lt;Pile_Input!$B$8,0,MAX(AB50,0))</x:f>
        <x:v>0</x:v>
      </x:c>
      <x:c r="AD50" s="20" t="n">
        <x:f>Pile_Input!$B$7*I50</x:f>
        <x:v>0</x:v>
      </x:c>
      <x:c r="AE50" s="20" t="n">
        <x:f>AC50*AD50</x:f>
        <x:v>0</x:v>
      </x:c>
      <x:c r="AF50" s="20" t="n">
        <x:f>SUM($AE$2:AE50)</x:f>
        <x:v>2.417753626718237</x:v>
      </x:c>
      <x:c r="AG50" s="20" t="n">
        <x:f>IF(E50="S",EXP(PI()*TAN(RADIANS(S50)))*TAN(RADIANS(45+S50/2))^2*(1+TAN(RADIANS(S50))),0)</x:f>
        <x:v>0</x:v>
      </x:c>
      <x:c r="AH50" s="20" t="n">
        <x:f>IF(E50="S",0.6934*EXP(0.0974*S50),0)</x:f>
        <x:v>0</x:v>
      </x:c>
      <x:c r="AI50" s="20" t="n">
        <x:f>IF(Pile_Input!$B$5&gt;1.5,AG50,AH50)</x:f>
        <x:v>0</x:v>
      </x:c>
      <x:c r="AJ50" s="20" t="n">
        <x:f>IF(E50="S",2*(AI50+1)*TAN(RADIANS(S50)),0)</x:f>
        <x:v>0</x:v>
      </x:c>
      <x:c r="AK50" s="20" t="n">
        <x:f>MIN(9*O50,Pile_Input!$B$12)</x:f>
        <x:v>0</x:v>
      </x:c>
      <x:c r="AL50" s="20" t="n">
        <x:f>MIN((AI50-1)*L50,Pile_Input!$B$12)</x:f>
        <x:v>0</x:v>
      </x:c>
      <x:c r="AM50" s="20" t="n">
        <x:f>IF(E50="C",AK50,IF(E50="S",AL50,0))</x:f>
        <x:v>0</x:v>
      </x:c>
      <x:c r="AN50" s="20" t="e">
        <x:f>AVERAGE(INDEX($AM:$AM,MAX(2,ROW()-1)):INDEX($AM:$AM,MIN(101,ROW()+2)))</x:f>
      </x:c>
      <x:c r="AO50" s="20" t="e">
        <x:f>AN50*Pile_Input!$B$7</x:f>
      </x:c>
      <x:c r="AP50" s="20" t="e">
        <x:f>AF50+AO50</x:f>
      </x:c>
      <x:c r="AQ50" s="20" t="e">
        <x:f>AP50/Pile_Input!$B$11</x:f>
      </x:c>
      <x:c r="AR50" s="20" t="n">
        <x:f>0.25*Pile_Input!$B$4*10</x:f>
        <x:v>875</x:v>
      </x:c>
      <x:c r="AS50" s="20" t="n">
        <x:f>Pile_Input!$B$7*AR50</x:f>
        <x:v>1649.3361431346414</x:v>
      </x:c>
    </x:row>
    <x:row r="51">
      <x:c r="A51" s="20" t="n">
        <x:f>Layer_Input!A51</x:f>
        <x:v>0</x:v>
      </x:c>
      <x:c r="B51" s="20" t="n">
        <x:f>Layer_Input!B51</x:f>
        <x:v>0</x:v>
      </x:c>
      <x:c r="C51" s="20" t="n">
        <x:f>Layer_Input!C51</x:f>
        <x:v>0</x:v>
      </x:c>
      <x:c r="D51" s="20" t="n">
        <x:f>Layer_Input!D51</x:f>
        <x:v>0</x:v>
      </x:c>
      <x:c r="E51" s="20" t="n">
        <x:f>Layer_Input!E51</x:f>
        <x:v>0</x:v>
      </x:c>
      <x:c r="F51" s="20" t="n">
        <x:f>Layer_Input!F51</x:f>
        <x:v>0</x:v>
      </x:c>
      <x:c r="G51" s="20" t="n">
        <x:f>Layer_Input!G51</x:f>
        <x:v>0</x:v>
      </x:c>
      <x:c r="H51" s="20" t="n">
        <x:f>Layer_Input!H51</x:f>
        <x:v>0</x:v>
      </x:c>
      <x:c r="I51" s="20" t="n">
        <x:f>MAX(C51-B51,0)</x:f>
        <x:v>0</x:v>
      </x:c>
      <x:c r="J51" s="20" t="n">
        <x:f>MAX(IF(B51&lt;Pile_Input!$B$9,D51,D51-Pile_Input!$B$10),0)</x:f>
        <x:v>0</x:v>
      </x:c>
      <x:c r="K51" s="20" t="n">
        <x:f>J51*I51</x:f>
        <x:v>0</x:v>
      </x:c>
      <x:c r="L51" s="20" t="str">
        <x:f>IF(B51="","",SUM($K$2:K51))</x:f>
      </x:c>
      <x:c r="M51" s="20" t="str">
        <x:f>IF(B51="","",L51-K51/2)</x:f>
      </x:c>
      <x:c r="N51" s="20" t="n">
        <x:f>IF(ISNUMBER(H51),0.52*H51,"")</x:f>
        <x:v>0</x:v>
      </x:c>
      <x:c r="O51" s="20" t="n">
        <x:f>IF(E51="C",AVERAGE(G51,N51),0)</x:f>
        <x:v>0</x:v>
      </x:c>
      <x:c r="P51" s="20" t="n">
        <x:f>IF(E51="C",0.93*EXP(-0.0536*O51),0)</x:f>
        <x:v>0</x:v>
      </x:c>
      <x:c r="Q51" s="20" t="n">
        <x:f>IF(E51="S",0.77*LOG10(20*95.76/MAX(M51*9.81,0.0001)),0)</x:f>
        <x:v>0</x:v>
      </x:c>
      <x:c r="R51" s="20" t="n">
        <x:f>Q51*H51</x:f>
        <x:v>0</x:v>
      </x:c>
      <x:c r="S51" s="20" t="n">
        <x:f>IF(E51="S",27.1+0.3*R51-0.00054*R51^2,0)</x:f>
        <x:v>0</x:v>
      </x:c>
      <x:c r="T51" s="20" t="n">
        <x:f>IF(E51="S",1-SIN(RADIANS(S51)),0)</x:f>
        <x:v>0</x:v>
      </x:c>
      <x:c r="U51" s="20" t="n">
        <x:f>1.5*T51</x:f>
        <x:v>0</x:v>
      </x:c>
      <x:c r="V51" s="20" t="n">
        <x:f>0.85*T51</x:f>
        <x:v>0</x:v>
      </x:c>
      <x:c r="W51" s="20" t="n">
        <x:f>IF(Pile_Input!$B$5&gt;1.5,U51,V51)</x:f>
        <x:v>0</x:v>
      </x:c>
      <x:c r="X51" s="20" t="n">
        <x:f>0.75*S51</x:f>
        <x:v>0</x:v>
      </x:c>
      <x:c r="Y51" s="20" t="n">
        <x:f>IF(E51="S",W51*TAN(RADIANS(X51)),0)</x:f>
        <x:v>0</x:v>
      </x:c>
      <x:c r="Z51" s="20" t="n">
        <x:f>P51*O51</x:f>
        <x:v>0</x:v>
      </x:c>
      <x:c r="AA51" s="20" t="n">
        <x:f>Y51*M51</x:f>
        <x:v>0</x:v>
      </x:c>
      <x:c r="AB51" s="20" t="n">
        <x:f>IF(E51="C",Z51,IF(E51="S",AA51,0))</x:f>
        <x:v>0</x:v>
      </x:c>
      <x:c r="AC51" s="20" t="n">
        <x:f>IF(B51&lt;Pile_Input!$B$8,0,MAX(AB51,0))</x:f>
        <x:v>0</x:v>
      </x:c>
      <x:c r="AD51" s="20" t="n">
        <x:f>Pile_Input!$B$7*I51</x:f>
        <x:v>0</x:v>
      </x:c>
      <x:c r="AE51" s="20" t="n">
        <x:f>AC51*AD51</x:f>
        <x:v>0</x:v>
      </x:c>
      <x:c r="AF51" s="20" t="n">
        <x:f>SUM($AE$2:AE51)</x:f>
        <x:v>2.417753626718237</x:v>
      </x:c>
      <x:c r="AG51" s="20" t="n">
        <x:f>IF(E51="S",EXP(PI()*TAN(RADIANS(S51)))*TAN(RADIANS(45+S51/2))^2*(1+TAN(RADIANS(S51))),0)</x:f>
        <x:v>0</x:v>
      </x:c>
      <x:c r="AH51" s="20" t="n">
        <x:f>IF(E51="S",0.6934*EXP(0.0974*S51),0)</x:f>
        <x:v>0</x:v>
      </x:c>
      <x:c r="AI51" s="20" t="n">
        <x:f>IF(Pile_Input!$B$5&gt;1.5,AG51,AH51)</x:f>
        <x:v>0</x:v>
      </x:c>
      <x:c r="AJ51" s="20" t="n">
        <x:f>IF(E51="S",2*(AI51+1)*TAN(RADIANS(S51)),0)</x:f>
        <x:v>0</x:v>
      </x:c>
      <x:c r="AK51" s="20" t="n">
        <x:f>MIN(9*O51,Pile_Input!$B$12)</x:f>
        <x:v>0</x:v>
      </x:c>
      <x:c r="AL51" s="20" t="n">
        <x:f>MIN((AI51-1)*L51,Pile_Input!$B$12)</x:f>
        <x:v>0</x:v>
      </x:c>
      <x:c r="AM51" s="20" t="n">
        <x:f>IF(E51="C",AK51,IF(E51="S",AL51,0))</x:f>
        <x:v>0</x:v>
      </x:c>
      <x:c r="AN51" s="20" t="e">
        <x:f>AVERAGE(INDEX($AM:$AM,MAX(2,ROW()-1)):INDEX($AM:$AM,MIN(101,ROW()+2)))</x:f>
      </x:c>
      <x:c r="AO51" s="20" t="e">
        <x:f>AN51*Pile_Input!$B$7</x:f>
      </x:c>
      <x:c r="AP51" s="20" t="e">
        <x:f>AF51+AO51</x:f>
      </x:c>
      <x:c r="AQ51" s="20" t="e">
        <x:f>AP51/Pile_Input!$B$11</x:f>
      </x:c>
      <x:c r="AR51" s="20" t="n">
        <x:f>0.25*Pile_Input!$B$4*10</x:f>
        <x:v>875</x:v>
      </x:c>
      <x:c r="AS51" s="20" t="n">
        <x:f>Pile_Input!$B$7*AR51</x:f>
        <x:v>1649.3361431346414</x:v>
      </x:c>
    </x:row>
    <x:row r="52">
      <x:c r="A52" s="20" t="n">
        <x:f>Layer_Input!A52</x:f>
        <x:v>0</x:v>
      </x:c>
      <x:c r="B52" s="20" t="n">
        <x:f>Layer_Input!B52</x:f>
        <x:v>0</x:v>
      </x:c>
      <x:c r="C52" s="20" t="n">
        <x:f>Layer_Input!C52</x:f>
        <x:v>0</x:v>
      </x:c>
      <x:c r="D52" s="20" t="n">
        <x:f>Layer_Input!D52</x:f>
        <x:v>0</x:v>
      </x:c>
      <x:c r="E52" s="20" t="n">
        <x:f>Layer_Input!E52</x:f>
        <x:v>0</x:v>
      </x:c>
      <x:c r="F52" s="20" t="n">
        <x:f>Layer_Input!F52</x:f>
        <x:v>0</x:v>
      </x:c>
      <x:c r="G52" s="20" t="n">
        <x:f>Layer_Input!G52</x:f>
        <x:v>0</x:v>
      </x:c>
      <x:c r="H52" s="20" t="n">
        <x:f>Layer_Input!H52</x:f>
        <x:v>0</x:v>
      </x:c>
      <x:c r="I52" s="20" t="n">
        <x:f>MAX(C52-B52,0)</x:f>
        <x:v>0</x:v>
      </x:c>
      <x:c r="J52" s="20" t="n">
        <x:f>MAX(IF(B52&lt;Pile_Input!$B$9,D52,D52-Pile_Input!$B$10),0)</x:f>
        <x:v>0</x:v>
      </x:c>
      <x:c r="K52" s="20" t="n">
        <x:f>J52*I52</x:f>
        <x:v>0</x:v>
      </x:c>
      <x:c r="L52" s="20" t="str">
        <x:f>IF(B52="","",SUM($K$2:K52))</x:f>
      </x:c>
      <x:c r="M52" s="20" t="str">
        <x:f>IF(B52="","",L52-K52/2)</x:f>
      </x:c>
      <x:c r="N52" s="20" t="n">
        <x:f>IF(ISNUMBER(H52),0.52*H52,"")</x:f>
        <x:v>0</x:v>
      </x:c>
      <x:c r="O52" s="20" t="n">
        <x:f>IF(E52="C",AVERAGE(G52,N52),0)</x:f>
        <x:v>0</x:v>
      </x:c>
      <x:c r="P52" s="20" t="n">
        <x:f>IF(E52="C",0.93*EXP(-0.0536*O52),0)</x:f>
        <x:v>0</x:v>
      </x:c>
      <x:c r="Q52" s="20" t="n">
        <x:f>IF(E52="S",0.77*LOG10(20*95.76/MAX(M52*9.81,0.0001)),0)</x:f>
        <x:v>0</x:v>
      </x:c>
      <x:c r="R52" s="20" t="n">
        <x:f>Q52*H52</x:f>
        <x:v>0</x:v>
      </x:c>
      <x:c r="S52" s="20" t="n">
        <x:f>IF(E52="S",27.1+0.3*R52-0.00054*R52^2,0)</x:f>
        <x:v>0</x:v>
      </x:c>
      <x:c r="T52" s="20" t="n">
        <x:f>IF(E52="S",1-SIN(RADIANS(S52)),0)</x:f>
        <x:v>0</x:v>
      </x:c>
      <x:c r="U52" s="20" t="n">
        <x:f>1.5*T52</x:f>
        <x:v>0</x:v>
      </x:c>
      <x:c r="V52" s="20" t="n">
        <x:f>0.85*T52</x:f>
        <x:v>0</x:v>
      </x:c>
      <x:c r="W52" s="20" t="n">
        <x:f>IF(Pile_Input!$B$5&gt;1.5,U52,V52)</x:f>
        <x:v>0</x:v>
      </x:c>
      <x:c r="X52" s="20" t="n">
        <x:f>0.75*S52</x:f>
        <x:v>0</x:v>
      </x:c>
      <x:c r="Y52" s="20" t="n">
        <x:f>IF(E52="S",W52*TAN(RADIANS(X52)),0)</x:f>
        <x:v>0</x:v>
      </x:c>
      <x:c r="Z52" s="20" t="n">
        <x:f>P52*O52</x:f>
        <x:v>0</x:v>
      </x:c>
      <x:c r="AA52" s="20" t="n">
        <x:f>Y52*M52</x:f>
        <x:v>0</x:v>
      </x:c>
      <x:c r="AB52" s="20" t="n">
        <x:f>IF(E52="C",Z52,IF(E52="S",AA52,0))</x:f>
        <x:v>0</x:v>
      </x:c>
      <x:c r="AC52" s="20" t="n">
        <x:f>IF(B52&lt;Pile_Input!$B$8,0,MAX(AB52,0))</x:f>
        <x:v>0</x:v>
      </x:c>
      <x:c r="AD52" s="20" t="n">
        <x:f>Pile_Input!$B$7*I52</x:f>
        <x:v>0</x:v>
      </x:c>
      <x:c r="AE52" s="20" t="n">
        <x:f>AC52*AD52</x:f>
        <x:v>0</x:v>
      </x:c>
      <x:c r="AF52" s="20" t="n">
        <x:f>SUM($AE$2:AE52)</x:f>
        <x:v>2.417753626718237</x:v>
      </x:c>
      <x:c r="AG52" s="20" t="n">
        <x:f>IF(E52="S",EXP(PI()*TAN(RADIANS(S52)))*TAN(RADIANS(45+S52/2))^2*(1+TAN(RADIANS(S52))),0)</x:f>
        <x:v>0</x:v>
      </x:c>
      <x:c r="AH52" s="20" t="n">
        <x:f>IF(E52="S",0.6934*EXP(0.0974*S52),0)</x:f>
        <x:v>0</x:v>
      </x:c>
      <x:c r="AI52" s="20" t="n">
        <x:f>IF(Pile_Input!$B$5&gt;1.5,AG52,AH52)</x:f>
        <x:v>0</x:v>
      </x:c>
      <x:c r="AJ52" s="20" t="n">
        <x:f>IF(E52="S",2*(AI52+1)*TAN(RADIANS(S52)),0)</x:f>
        <x:v>0</x:v>
      </x:c>
      <x:c r="AK52" s="20" t="n">
        <x:f>MIN(9*O52,Pile_Input!$B$12)</x:f>
        <x:v>0</x:v>
      </x:c>
      <x:c r="AL52" s="20" t="n">
        <x:f>MIN((AI52-1)*L52,Pile_Input!$B$12)</x:f>
        <x:v>0</x:v>
      </x:c>
      <x:c r="AM52" s="20" t="n">
        <x:f>IF(E52="C",AK52,IF(E52="S",AL52,0))</x:f>
        <x:v>0</x:v>
      </x:c>
      <x:c r="AN52" s="20" t="e">
        <x:f>AVERAGE(INDEX($AM:$AM,MAX(2,ROW()-1)):INDEX($AM:$AM,MIN(101,ROW()+2)))</x:f>
      </x:c>
      <x:c r="AO52" s="20" t="e">
        <x:f>AN52*Pile_Input!$B$7</x:f>
      </x:c>
      <x:c r="AP52" s="20" t="e">
        <x:f>AF52+AO52</x:f>
      </x:c>
      <x:c r="AQ52" s="20" t="e">
        <x:f>AP52/Pile_Input!$B$11</x:f>
      </x:c>
      <x:c r="AR52" s="20" t="n">
        <x:f>0.25*Pile_Input!$B$4*10</x:f>
        <x:v>875</x:v>
      </x:c>
      <x:c r="AS52" s="20" t="n">
        <x:f>Pile_Input!$B$7*AR52</x:f>
        <x:v>1649.3361431346414</x:v>
      </x:c>
    </x:row>
    <x:row r="53">
      <x:c r="A53" s="20" t="n">
        <x:f>Layer_Input!A53</x:f>
        <x:v>0</x:v>
      </x:c>
      <x:c r="B53" s="20" t="n">
        <x:f>Layer_Input!B53</x:f>
        <x:v>0</x:v>
      </x:c>
      <x:c r="C53" s="20" t="n">
        <x:f>Layer_Input!C53</x:f>
        <x:v>0</x:v>
      </x:c>
      <x:c r="D53" s="20" t="n">
        <x:f>Layer_Input!D53</x:f>
        <x:v>0</x:v>
      </x:c>
      <x:c r="E53" s="20" t="n">
        <x:f>Layer_Input!E53</x:f>
        <x:v>0</x:v>
      </x:c>
      <x:c r="F53" s="20" t="n">
        <x:f>Layer_Input!F53</x:f>
        <x:v>0</x:v>
      </x:c>
      <x:c r="G53" s="20" t="n">
        <x:f>Layer_Input!G53</x:f>
        <x:v>0</x:v>
      </x:c>
      <x:c r="H53" s="20" t="n">
        <x:f>Layer_Input!H53</x:f>
        <x:v>0</x:v>
      </x:c>
      <x:c r="I53" s="20" t="n">
        <x:f>MAX(C53-B53,0)</x:f>
        <x:v>0</x:v>
      </x:c>
      <x:c r="J53" s="20" t="n">
        <x:f>MAX(IF(B53&lt;Pile_Input!$B$9,D53,D53-Pile_Input!$B$10),0)</x:f>
        <x:v>0</x:v>
      </x:c>
      <x:c r="K53" s="20" t="n">
        <x:f>J53*I53</x:f>
        <x:v>0</x:v>
      </x:c>
      <x:c r="L53" s="20" t="str">
        <x:f>IF(B53="","",SUM($K$2:K53))</x:f>
      </x:c>
      <x:c r="M53" s="20" t="str">
        <x:f>IF(B53="","",L53-K53/2)</x:f>
      </x:c>
      <x:c r="N53" s="20" t="n">
        <x:f>IF(ISNUMBER(H53),0.52*H53,"")</x:f>
        <x:v>0</x:v>
      </x:c>
      <x:c r="O53" s="20" t="n">
        <x:f>IF(E53="C",AVERAGE(G53,N53),0)</x:f>
        <x:v>0</x:v>
      </x:c>
      <x:c r="P53" s="20" t="n">
        <x:f>IF(E53="C",0.93*EXP(-0.0536*O53),0)</x:f>
        <x:v>0</x:v>
      </x:c>
      <x:c r="Q53" s="20" t="n">
        <x:f>IF(E53="S",0.77*LOG10(20*95.76/MAX(M53*9.81,0.0001)),0)</x:f>
        <x:v>0</x:v>
      </x:c>
      <x:c r="R53" s="20" t="n">
        <x:f>Q53*H53</x:f>
        <x:v>0</x:v>
      </x:c>
      <x:c r="S53" s="20" t="n">
        <x:f>IF(E53="S",27.1+0.3*R53-0.00054*R53^2,0)</x:f>
        <x:v>0</x:v>
      </x:c>
      <x:c r="T53" s="20" t="n">
        <x:f>IF(E53="S",1-SIN(RADIANS(S53)),0)</x:f>
        <x:v>0</x:v>
      </x:c>
      <x:c r="U53" s="20" t="n">
        <x:f>1.5*T53</x:f>
        <x:v>0</x:v>
      </x:c>
      <x:c r="V53" s="20" t="n">
        <x:f>0.85*T53</x:f>
        <x:v>0</x:v>
      </x:c>
      <x:c r="W53" s="20" t="n">
        <x:f>IF(Pile_Input!$B$5&gt;1.5,U53,V53)</x:f>
        <x:v>0</x:v>
      </x:c>
      <x:c r="X53" s="20" t="n">
        <x:f>0.75*S53</x:f>
        <x:v>0</x:v>
      </x:c>
      <x:c r="Y53" s="20" t="n">
        <x:f>IF(E53="S",W53*TAN(RADIANS(X53)),0)</x:f>
        <x:v>0</x:v>
      </x:c>
      <x:c r="Z53" s="20" t="n">
        <x:f>P53*O53</x:f>
        <x:v>0</x:v>
      </x:c>
      <x:c r="AA53" s="20" t="n">
        <x:f>Y53*M53</x:f>
        <x:v>0</x:v>
      </x:c>
      <x:c r="AB53" s="20" t="n">
        <x:f>IF(E53="C",Z53,IF(E53="S",AA53,0))</x:f>
        <x:v>0</x:v>
      </x:c>
      <x:c r="AC53" s="20" t="n">
        <x:f>IF(B53&lt;Pile_Input!$B$8,0,MAX(AB53,0))</x:f>
        <x:v>0</x:v>
      </x:c>
      <x:c r="AD53" s="20" t="n">
        <x:f>Pile_Input!$B$7*I53</x:f>
        <x:v>0</x:v>
      </x:c>
      <x:c r="AE53" s="20" t="n">
        <x:f>AC53*AD53</x:f>
        <x:v>0</x:v>
      </x:c>
      <x:c r="AF53" s="20" t="n">
        <x:f>SUM($AE$2:AE53)</x:f>
        <x:v>2.417753626718237</x:v>
      </x:c>
      <x:c r="AG53" s="20" t="n">
        <x:f>IF(E53="S",EXP(PI()*TAN(RADIANS(S53)))*TAN(RADIANS(45+S53/2))^2*(1+TAN(RADIANS(S53))),0)</x:f>
        <x:v>0</x:v>
      </x:c>
      <x:c r="AH53" s="20" t="n">
        <x:f>IF(E53="S",0.6934*EXP(0.0974*S53),0)</x:f>
        <x:v>0</x:v>
      </x:c>
      <x:c r="AI53" s="20" t="n">
        <x:f>IF(Pile_Input!$B$5&gt;1.5,AG53,AH53)</x:f>
        <x:v>0</x:v>
      </x:c>
      <x:c r="AJ53" s="20" t="n">
        <x:f>IF(E53="S",2*(AI53+1)*TAN(RADIANS(S53)),0)</x:f>
        <x:v>0</x:v>
      </x:c>
      <x:c r="AK53" s="20" t="n">
        <x:f>MIN(9*O53,Pile_Input!$B$12)</x:f>
        <x:v>0</x:v>
      </x:c>
      <x:c r="AL53" s="20" t="n">
        <x:f>MIN((AI53-1)*L53,Pile_Input!$B$12)</x:f>
        <x:v>0</x:v>
      </x:c>
      <x:c r="AM53" s="20" t="n">
        <x:f>IF(E53="C",AK53,IF(E53="S",AL53,0))</x:f>
        <x:v>0</x:v>
      </x:c>
      <x:c r="AN53" s="20" t="e">
        <x:f>AVERAGE(INDEX($AM:$AM,MAX(2,ROW()-1)):INDEX($AM:$AM,MIN(101,ROW()+2)))</x:f>
      </x:c>
      <x:c r="AO53" s="20" t="e">
        <x:f>AN53*Pile_Input!$B$7</x:f>
      </x:c>
      <x:c r="AP53" s="20" t="e">
        <x:f>AF53+AO53</x:f>
      </x:c>
      <x:c r="AQ53" s="20" t="e">
        <x:f>AP53/Pile_Input!$B$11</x:f>
      </x:c>
      <x:c r="AR53" s="20" t="n">
        <x:f>0.25*Pile_Input!$B$4*10</x:f>
        <x:v>875</x:v>
      </x:c>
      <x:c r="AS53" s="20" t="n">
        <x:f>Pile_Input!$B$7*AR53</x:f>
        <x:v>1649.3361431346414</x:v>
      </x:c>
    </x:row>
    <x:row r="54">
      <x:c r="A54" s="20" t="n">
        <x:f>Layer_Input!A54</x:f>
        <x:v>0</x:v>
      </x:c>
      <x:c r="B54" s="20" t="n">
        <x:f>Layer_Input!B54</x:f>
        <x:v>0</x:v>
      </x:c>
      <x:c r="C54" s="20" t="n">
        <x:f>Layer_Input!C54</x:f>
        <x:v>0</x:v>
      </x:c>
      <x:c r="D54" s="20" t="n">
        <x:f>Layer_Input!D54</x:f>
        <x:v>0</x:v>
      </x:c>
      <x:c r="E54" s="20" t="n">
        <x:f>Layer_Input!E54</x:f>
        <x:v>0</x:v>
      </x:c>
      <x:c r="F54" s="20" t="n">
        <x:f>Layer_Input!F54</x:f>
        <x:v>0</x:v>
      </x:c>
      <x:c r="G54" s="20" t="n">
        <x:f>Layer_Input!G54</x:f>
        <x:v>0</x:v>
      </x:c>
      <x:c r="H54" s="20" t="n">
        <x:f>Layer_Input!H54</x:f>
        <x:v>0</x:v>
      </x:c>
      <x:c r="I54" s="20" t="n">
        <x:f>MAX(C54-B54,0)</x:f>
        <x:v>0</x:v>
      </x:c>
      <x:c r="J54" s="20" t="n">
        <x:f>MAX(IF(B54&lt;Pile_Input!$B$9,D54,D54-Pile_Input!$B$10),0)</x:f>
        <x:v>0</x:v>
      </x:c>
      <x:c r="K54" s="20" t="n">
        <x:f>J54*I54</x:f>
        <x:v>0</x:v>
      </x:c>
      <x:c r="L54" s="20" t="str">
        <x:f>IF(B54="","",SUM($K$2:K54))</x:f>
      </x:c>
      <x:c r="M54" s="20" t="str">
        <x:f>IF(B54="","",L54-K54/2)</x:f>
      </x:c>
      <x:c r="N54" s="20" t="n">
        <x:f>IF(ISNUMBER(H54),0.52*H54,"")</x:f>
        <x:v>0</x:v>
      </x:c>
      <x:c r="O54" s="20" t="n">
        <x:f>IF(E54="C",AVERAGE(G54,N54),0)</x:f>
        <x:v>0</x:v>
      </x:c>
      <x:c r="P54" s="20" t="n">
        <x:f>IF(E54="C",0.93*EXP(-0.0536*O54),0)</x:f>
        <x:v>0</x:v>
      </x:c>
      <x:c r="Q54" s="20" t="n">
        <x:f>IF(E54="S",0.77*LOG10(20*95.76/MAX(M54*9.81,0.0001)),0)</x:f>
        <x:v>0</x:v>
      </x:c>
      <x:c r="R54" s="20" t="n">
        <x:f>Q54*H54</x:f>
        <x:v>0</x:v>
      </x:c>
      <x:c r="S54" s="20" t="n">
        <x:f>IF(E54="S",27.1+0.3*R54-0.00054*R54^2,0)</x:f>
        <x:v>0</x:v>
      </x:c>
      <x:c r="T54" s="20" t="n">
        <x:f>IF(E54="S",1-SIN(RADIANS(S54)),0)</x:f>
        <x:v>0</x:v>
      </x:c>
      <x:c r="U54" s="20" t="n">
        <x:f>1.5*T54</x:f>
        <x:v>0</x:v>
      </x:c>
      <x:c r="V54" s="20" t="n">
        <x:f>0.85*T54</x:f>
        <x:v>0</x:v>
      </x:c>
      <x:c r="W54" s="20" t="n">
        <x:f>IF(Pile_Input!$B$5&gt;1.5,U54,V54)</x:f>
        <x:v>0</x:v>
      </x:c>
      <x:c r="X54" s="20" t="n">
        <x:f>0.75*S54</x:f>
        <x:v>0</x:v>
      </x:c>
      <x:c r="Y54" s="20" t="n">
        <x:f>IF(E54="S",W54*TAN(RADIANS(X54)),0)</x:f>
        <x:v>0</x:v>
      </x:c>
      <x:c r="Z54" s="20" t="n">
        <x:f>P54*O54</x:f>
        <x:v>0</x:v>
      </x:c>
      <x:c r="AA54" s="20" t="n">
        <x:f>Y54*M54</x:f>
        <x:v>0</x:v>
      </x:c>
      <x:c r="AB54" s="20" t="n">
        <x:f>IF(E54="C",Z54,IF(E54="S",AA54,0))</x:f>
        <x:v>0</x:v>
      </x:c>
      <x:c r="AC54" s="20" t="n">
        <x:f>IF(B54&lt;Pile_Input!$B$8,0,MAX(AB54,0))</x:f>
        <x:v>0</x:v>
      </x:c>
      <x:c r="AD54" s="20" t="n">
        <x:f>Pile_Input!$B$7*I54</x:f>
        <x:v>0</x:v>
      </x:c>
      <x:c r="AE54" s="20" t="n">
        <x:f>AC54*AD54</x:f>
        <x:v>0</x:v>
      </x:c>
      <x:c r="AF54" s="20" t="n">
        <x:f>SUM($AE$2:AE54)</x:f>
        <x:v>2.417753626718237</x:v>
      </x:c>
      <x:c r="AG54" s="20" t="n">
        <x:f>IF(E54="S",EXP(PI()*TAN(RADIANS(S54)))*TAN(RADIANS(45+S54/2))^2*(1+TAN(RADIANS(S54))),0)</x:f>
        <x:v>0</x:v>
      </x:c>
      <x:c r="AH54" s="20" t="n">
        <x:f>IF(E54="S",0.6934*EXP(0.0974*S54),0)</x:f>
        <x:v>0</x:v>
      </x:c>
      <x:c r="AI54" s="20" t="n">
        <x:f>IF(Pile_Input!$B$5&gt;1.5,AG54,AH54)</x:f>
        <x:v>0</x:v>
      </x:c>
      <x:c r="AJ54" s="20" t="n">
        <x:f>IF(E54="S",2*(AI54+1)*TAN(RADIANS(S54)),0)</x:f>
        <x:v>0</x:v>
      </x:c>
      <x:c r="AK54" s="20" t="n">
        <x:f>MIN(9*O54,Pile_Input!$B$12)</x:f>
        <x:v>0</x:v>
      </x:c>
      <x:c r="AL54" s="20" t="n">
        <x:f>MIN((AI54-1)*L54,Pile_Input!$B$12)</x:f>
        <x:v>0</x:v>
      </x:c>
      <x:c r="AM54" s="20" t="n">
        <x:f>IF(E54="C",AK54,IF(E54="S",AL54,0))</x:f>
        <x:v>0</x:v>
      </x:c>
      <x:c r="AN54" s="20" t="e">
        <x:f>AVERAGE(INDEX($AM:$AM,MAX(2,ROW()-1)):INDEX($AM:$AM,MIN(101,ROW()+2)))</x:f>
      </x:c>
      <x:c r="AO54" s="20" t="e">
        <x:f>AN54*Pile_Input!$B$7</x:f>
      </x:c>
      <x:c r="AP54" s="20" t="e">
        <x:f>AF54+AO54</x:f>
      </x:c>
      <x:c r="AQ54" s="20" t="e">
        <x:f>AP54/Pile_Input!$B$11</x:f>
      </x:c>
      <x:c r="AR54" s="20" t="n">
        <x:f>0.25*Pile_Input!$B$4*10</x:f>
        <x:v>875</x:v>
      </x:c>
      <x:c r="AS54" s="20" t="n">
        <x:f>Pile_Input!$B$7*AR54</x:f>
        <x:v>1649.3361431346414</x:v>
      </x:c>
    </x:row>
    <x:row r="55">
      <x:c r="A55" s="20" t="n">
        <x:f>Layer_Input!A55</x:f>
        <x:v>0</x:v>
      </x:c>
      <x:c r="B55" s="20" t="n">
        <x:f>Layer_Input!B55</x:f>
        <x:v>0</x:v>
      </x:c>
      <x:c r="C55" s="20" t="n">
        <x:f>Layer_Input!C55</x:f>
        <x:v>0</x:v>
      </x:c>
      <x:c r="D55" s="20" t="n">
        <x:f>Layer_Input!D55</x:f>
        <x:v>0</x:v>
      </x:c>
      <x:c r="E55" s="20" t="n">
        <x:f>Layer_Input!E55</x:f>
        <x:v>0</x:v>
      </x:c>
      <x:c r="F55" s="20" t="n">
        <x:f>Layer_Input!F55</x:f>
        <x:v>0</x:v>
      </x:c>
      <x:c r="G55" s="20" t="n">
        <x:f>Layer_Input!G55</x:f>
        <x:v>0</x:v>
      </x:c>
      <x:c r="H55" s="20" t="n">
        <x:f>Layer_Input!H55</x:f>
        <x:v>0</x:v>
      </x:c>
      <x:c r="I55" s="20" t="n">
        <x:f>MAX(C55-B55,0)</x:f>
        <x:v>0</x:v>
      </x:c>
      <x:c r="J55" s="20" t="n">
        <x:f>MAX(IF(B55&lt;Pile_Input!$B$9,D55,D55-Pile_Input!$B$10),0)</x:f>
        <x:v>0</x:v>
      </x:c>
      <x:c r="K55" s="20" t="n">
        <x:f>J55*I55</x:f>
        <x:v>0</x:v>
      </x:c>
      <x:c r="L55" s="20" t="str">
        <x:f>IF(B55="","",SUM($K$2:K55))</x:f>
      </x:c>
      <x:c r="M55" s="20" t="str">
        <x:f>IF(B55="","",L55-K55/2)</x:f>
      </x:c>
      <x:c r="N55" s="20" t="n">
        <x:f>IF(ISNUMBER(H55),0.52*H55,"")</x:f>
        <x:v>0</x:v>
      </x:c>
      <x:c r="O55" s="20" t="n">
        <x:f>IF(E55="C",AVERAGE(G55,N55),0)</x:f>
        <x:v>0</x:v>
      </x:c>
      <x:c r="P55" s="20" t="n">
        <x:f>IF(E55="C",0.93*EXP(-0.0536*O55),0)</x:f>
        <x:v>0</x:v>
      </x:c>
      <x:c r="Q55" s="20" t="n">
        <x:f>IF(E55="S",0.77*LOG10(20*95.76/MAX(M55*9.81,0.0001)),0)</x:f>
        <x:v>0</x:v>
      </x:c>
      <x:c r="R55" s="20" t="n">
        <x:f>Q55*H55</x:f>
        <x:v>0</x:v>
      </x:c>
      <x:c r="S55" s="20" t="n">
        <x:f>IF(E55="S",27.1+0.3*R55-0.00054*R55^2,0)</x:f>
        <x:v>0</x:v>
      </x:c>
      <x:c r="T55" s="20" t="n">
        <x:f>IF(E55="S",1-SIN(RADIANS(S55)),0)</x:f>
        <x:v>0</x:v>
      </x:c>
      <x:c r="U55" s="20" t="n">
        <x:f>1.5*T55</x:f>
        <x:v>0</x:v>
      </x:c>
      <x:c r="V55" s="20" t="n">
        <x:f>0.85*T55</x:f>
        <x:v>0</x:v>
      </x:c>
      <x:c r="W55" s="20" t="n">
        <x:f>IF(Pile_Input!$B$5&gt;1.5,U55,V55)</x:f>
        <x:v>0</x:v>
      </x:c>
      <x:c r="X55" s="20" t="n">
        <x:f>0.75*S55</x:f>
        <x:v>0</x:v>
      </x:c>
      <x:c r="Y55" s="20" t="n">
        <x:f>IF(E55="S",W55*TAN(RADIANS(X55)),0)</x:f>
        <x:v>0</x:v>
      </x:c>
      <x:c r="Z55" s="20" t="n">
        <x:f>P55*O55</x:f>
        <x:v>0</x:v>
      </x:c>
      <x:c r="AA55" s="20" t="n">
        <x:f>Y55*M55</x:f>
        <x:v>0</x:v>
      </x:c>
      <x:c r="AB55" s="20" t="n">
        <x:f>IF(E55="C",Z55,IF(E55="S",AA55,0))</x:f>
        <x:v>0</x:v>
      </x:c>
      <x:c r="AC55" s="20" t="n">
        <x:f>IF(B55&lt;Pile_Input!$B$8,0,MAX(AB55,0))</x:f>
        <x:v>0</x:v>
      </x:c>
      <x:c r="AD55" s="20" t="n">
        <x:f>Pile_Input!$B$7*I55</x:f>
        <x:v>0</x:v>
      </x:c>
      <x:c r="AE55" s="20" t="n">
        <x:f>AC55*AD55</x:f>
        <x:v>0</x:v>
      </x:c>
      <x:c r="AF55" s="20" t="n">
        <x:f>SUM($AE$2:AE55)</x:f>
        <x:v>2.417753626718237</x:v>
      </x:c>
      <x:c r="AG55" s="20" t="n">
        <x:f>IF(E55="S",EXP(PI()*TAN(RADIANS(S55)))*TAN(RADIANS(45+S55/2))^2*(1+TAN(RADIANS(S55))),0)</x:f>
        <x:v>0</x:v>
      </x:c>
      <x:c r="AH55" s="20" t="n">
        <x:f>IF(E55="S",0.6934*EXP(0.0974*S55),0)</x:f>
        <x:v>0</x:v>
      </x:c>
      <x:c r="AI55" s="20" t="n">
        <x:f>IF(Pile_Input!$B$5&gt;1.5,AG55,AH55)</x:f>
        <x:v>0</x:v>
      </x:c>
      <x:c r="AJ55" s="20" t="n">
        <x:f>IF(E55="S",2*(AI55+1)*TAN(RADIANS(S55)),0)</x:f>
        <x:v>0</x:v>
      </x:c>
      <x:c r="AK55" s="20" t="n">
        <x:f>MIN(9*O55,Pile_Input!$B$12)</x:f>
        <x:v>0</x:v>
      </x:c>
      <x:c r="AL55" s="20" t="n">
        <x:f>MIN((AI55-1)*L55,Pile_Input!$B$12)</x:f>
        <x:v>0</x:v>
      </x:c>
      <x:c r="AM55" s="20" t="n">
        <x:f>IF(E55="C",AK55,IF(E55="S",AL55,0))</x:f>
        <x:v>0</x:v>
      </x:c>
      <x:c r="AN55" s="20" t="e">
        <x:f>AVERAGE(INDEX($AM:$AM,MAX(2,ROW()-1)):INDEX($AM:$AM,MIN(101,ROW()+2)))</x:f>
      </x:c>
      <x:c r="AO55" s="20" t="e">
        <x:f>AN55*Pile_Input!$B$7</x:f>
      </x:c>
      <x:c r="AP55" s="20" t="e">
        <x:f>AF55+AO55</x:f>
      </x:c>
      <x:c r="AQ55" s="20" t="e">
        <x:f>AP55/Pile_Input!$B$11</x:f>
      </x:c>
      <x:c r="AR55" s="20" t="n">
        <x:f>0.25*Pile_Input!$B$4*10</x:f>
        <x:v>875</x:v>
      </x:c>
      <x:c r="AS55" s="20" t="n">
        <x:f>Pile_Input!$B$7*AR55</x:f>
        <x:v>1649.3361431346414</x:v>
      </x:c>
    </x:row>
    <x:row r="56">
      <x:c r="A56" s="20" t="n">
        <x:f>Layer_Input!A56</x:f>
        <x:v>0</x:v>
      </x:c>
      <x:c r="B56" s="20" t="n">
        <x:f>Layer_Input!B56</x:f>
        <x:v>0</x:v>
      </x:c>
      <x:c r="C56" s="20" t="n">
        <x:f>Layer_Input!C56</x:f>
        <x:v>0</x:v>
      </x:c>
      <x:c r="D56" s="20" t="n">
        <x:f>Layer_Input!D56</x:f>
        <x:v>0</x:v>
      </x:c>
      <x:c r="E56" s="20" t="n">
        <x:f>Layer_Input!E56</x:f>
        <x:v>0</x:v>
      </x:c>
      <x:c r="F56" s="20" t="n">
        <x:f>Layer_Input!F56</x:f>
        <x:v>0</x:v>
      </x:c>
      <x:c r="G56" s="20" t="n">
        <x:f>Layer_Input!G56</x:f>
        <x:v>0</x:v>
      </x:c>
      <x:c r="H56" s="20" t="n">
        <x:f>Layer_Input!H56</x:f>
        <x:v>0</x:v>
      </x:c>
      <x:c r="I56" s="20" t="n">
        <x:f>MAX(C56-B56,0)</x:f>
        <x:v>0</x:v>
      </x:c>
      <x:c r="J56" s="20" t="n">
        <x:f>MAX(IF(B56&lt;Pile_Input!$B$9,D56,D56-Pile_Input!$B$10),0)</x:f>
        <x:v>0</x:v>
      </x:c>
      <x:c r="K56" s="20" t="n">
        <x:f>J56*I56</x:f>
        <x:v>0</x:v>
      </x:c>
      <x:c r="L56" s="20" t="str">
        <x:f>IF(B56="","",SUM($K$2:K56))</x:f>
      </x:c>
      <x:c r="M56" s="20" t="str">
        <x:f>IF(B56="","",L56-K56/2)</x:f>
      </x:c>
      <x:c r="N56" s="20" t="n">
        <x:f>IF(ISNUMBER(H56),0.52*H56,"")</x:f>
        <x:v>0</x:v>
      </x:c>
      <x:c r="O56" s="20" t="n">
        <x:f>IF(E56="C",AVERAGE(G56,N56),0)</x:f>
        <x:v>0</x:v>
      </x:c>
      <x:c r="P56" s="20" t="n">
        <x:f>IF(E56="C",0.93*EXP(-0.0536*O56),0)</x:f>
        <x:v>0</x:v>
      </x:c>
      <x:c r="Q56" s="20" t="n">
        <x:f>IF(E56="S",0.77*LOG10(20*95.76/MAX(M56*9.81,0.0001)),0)</x:f>
        <x:v>0</x:v>
      </x:c>
      <x:c r="R56" s="20" t="n">
        <x:f>Q56*H56</x:f>
        <x:v>0</x:v>
      </x:c>
      <x:c r="S56" s="20" t="n">
        <x:f>IF(E56="S",27.1+0.3*R56-0.00054*R56^2,0)</x:f>
        <x:v>0</x:v>
      </x:c>
      <x:c r="T56" s="20" t="n">
        <x:f>IF(E56="S",1-SIN(RADIANS(S56)),0)</x:f>
        <x:v>0</x:v>
      </x:c>
      <x:c r="U56" s="20" t="n">
        <x:f>1.5*T56</x:f>
        <x:v>0</x:v>
      </x:c>
      <x:c r="V56" s="20" t="n">
        <x:f>0.85*T56</x:f>
        <x:v>0</x:v>
      </x:c>
      <x:c r="W56" s="20" t="n">
        <x:f>IF(Pile_Input!$B$5&gt;1.5,U56,V56)</x:f>
        <x:v>0</x:v>
      </x:c>
      <x:c r="X56" s="20" t="n">
        <x:f>0.75*S56</x:f>
        <x:v>0</x:v>
      </x:c>
      <x:c r="Y56" s="20" t="n">
        <x:f>IF(E56="S",W56*TAN(RADIANS(X56)),0)</x:f>
        <x:v>0</x:v>
      </x:c>
      <x:c r="Z56" s="20" t="n">
        <x:f>P56*O56</x:f>
        <x:v>0</x:v>
      </x:c>
      <x:c r="AA56" s="20" t="n">
        <x:f>Y56*M56</x:f>
        <x:v>0</x:v>
      </x:c>
      <x:c r="AB56" s="20" t="n">
        <x:f>IF(E56="C",Z56,IF(E56="S",AA56,0))</x:f>
        <x:v>0</x:v>
      </x:c>
      <x:c r="AC56" s="20" t="n">
        <x:f>IF(B56&lt;Pile_Input!$B$8,0,MAX(AB56,0))</x:f>
        <x:v>0</x:v>
      </x:c>
      <x:c r="AD56" s="20" t="n">
        <x:f>Pile_Input!$B$7*I56</x:f>
        <x:v>0</x:v>
      </x:c>
      <x:c r="AE56" s="20" t="n">
        <x:f>AC56*AD56</x:f>
        <x:v>0</x:v>
      </x:c>
      <x:c r="AF56" s="20" t="n">
        <x:f>SUM($AE$2:AE56)</x:f>
        <x:v>2.417753626718237</x:v>
      </x:c>
      <x:c r="AG56" s="20" t="n">
        <x:f>IF(E56="S",EXP(PI()*TAN(RADIANS(S56)))*TAN(RADIANS(45+S56/2))^2*(1+TAN(RADIANS(S56))),0)</x:f>
        <x:v>0</x:v>
      </x:c>
      <x:c r="AH56" s="20" t="n">
        <x:f>IF(E56="S",0.6934*EXP(0.0974*S56),0)</x:f>
        <x:v>0</x:v>
      </x:c>
      <x:c r="AI56" s="20" t="n">
        <x:f>IF(Pile_Input!$B$5&gt;1.5,AG56,AH56)</x:f>
        <x:v>0</x:v>
      </x:c>
      <x:c r="AJ56" s="20" t="n">
        <x:f>IF(E56="S",2*(AI56+1)*TAN(RADIANS(S56)),0)</x:f>
        <x:v>0</x:v>
      </x:c>
      <x:c r="AK56" s="20" t="n">
        <x:f>MIN(9*O56,Pile_Input!$B$12)</x:f>
        <x:v>0</x:v>
      </x:c>
      <x:c r="AL56" s="20" t="n">
        <x:f>MIN((AI56-1)*L56,Pile_Input!$B$12)</x:f>
        <x:v>0</x:v>
      </x:c>
      <x:c r="AM56" s="20" t="n">
        <x:f>IF(E56="C",AK56,IF(E56="S",AL56,0))</x:f>
        <x:v>0</x:v>
      </x:c>
      <x:c r="AN56" s="20" t="e">
        <x:f>AVERAGE(INDEX($AM:$AM,MAX(2,ROW()-1)):INDEX($AM:$AM,MIN(101,ROW()+2)))</x:f>
      </x:c>
      <x:c r="AO56" s="20" t="e">
        <x:f>AN56*Pile_Input!$B$7</x:f>
      </x:c>
      <x:c r="AP56" s="20" t="e">
        <x:f>AF56+AO56</x:f>
      </x:c>
      <x:c r="AQ56" s="20" t="e">
        <x:f>AP56/Pile_Input!$B$11</x:f>
      </x:c>
      <x:c r="AR56" s="20" t="n">
        <x:f>0.25*Pile_Input!$B$4*10</x:f>
        <x:v>875</x:v>
      </x:c>
      <x:c r="AS56" s="20" t="n">
        <x:f>Pile_Input!$B$7*AR56</x:f>
        <x:v>1649.3361431346414</x:v>
      </x:c>
    </x:row>
    <x:row r="57">
      <x:c r="A57" s="20" t="n">
        <x:f>Layer_Input!A57</x:f>
        <x:v>0</x:v>
      </x:c>
      <x:c r="B57" s="20" t="n">
        <x:f>Layer_Input!B57</x:f>
        <x:v>0</x:v>
      </x:c>
      <x:c r="C57" s="20" t="n">
        <x:f>Layer_Input!C57</x:f>
        <x:v>0</x:v>
      </x:c>
      <x:c r="D57" s="20" t="n">
        <x:f>Layer_Input!D57</x:f>
        <x:v>0</x:v>
      </x:c>
      <x:c r="E57" s="20" t="n">
        <x:f>Layer_Input!E57</x:f>
        <x:v>0</x:v>
      </x:c>
      <x:c r="F57" s="20" t="n">
        <x:f>Layer_Input!F57</x:f>
        <x:v>0</x:v>
      </x:c>
      <x:c r="G57" s="20" t="n">
        <x:f>Layer_Input!G57</x:f>
        <x:v>0</x:v>
      </x:c>
      <x:c r="H57" s="20" t="n">
        <x:f>Layer_Input!H57</x:f>
        <x:v>0</x:v>
      </x:c>
      <x:c r="I57" s="20" t="n">
        <x:f>MAX(C57-B57,0)</x:f>
        <x:v>0</x:v>
      </x:c>
      <x:c r="J57" s="20" t="n">
        <x:f>MAX(IF(B57&lt;Pile_Input!$B$9,D57,D57-Pile_Input!$B$10),0)</x:f>
        <x:v>0</x:v>
      </x:c>
      <x:c r="K57" s="20" t="n">
        <x:f>J57*I57</x:f>
        <x:v>0</x:v>
      </x:c>
      <x:c r="L57" s="20" t="str">
        <x:f>IF(B57="","",SUM($K$2:K57))</x:f>
      </x:c>
      <x:c r="M57" s="20" t="str">
        <x:f>IF(B57="","",L57-K57/2)</x:f>
      </x:c>
      <x:c r="N57" s="20" t="n">
        <x:f>IF(ISNUMBER(H57),0.52*H57,"")</x:f>
        <x:v>0</x:v>
      </x:c>
      <x:c r="O57" s="20" t="n">
        <x:f>IF(E57="C",AVERAGE(G57,N57),0)</x:f>
        <x:v>0</x:v>
      </x:c>
      <x:c r="P57" s="20" t="n">
        <x:f>IF(E57="C",0.93*EXP(-0.0536*O57),0)</x:f>
        <x:v>0</x:v>
      </x:c>
      <x:c r="Q57" s="20" t="n">
        <x:f>IF(E57="S",0.77*LOG10(20*95.76/MAX(M57*9.81,0.0001)),0)</x:f>
        <x:v>0</x:v>
      </x:c>
      <x:c r="R57" s="20" t="n">
        <x:f>Q57*H57</x:f>
        <x:v>0</x:v>
      </x:c>
      <x:c r="S57" s="20" t="n">
        <x:f>IF(E57="S",27.1+0.3*R57-0.00054*R57^2,0)</x:f>
        <x:v>0</x:v>
      </x:c>
      <x:c r="T57" s="20" t="n">
        <x:f>IF(E57="S",1-SIN(RADIANS(S57)),0)</x:f>
        <x:v>0</x:v>
      </x:c>
      <x:c r="U57" s="20" t="n">
        <x:f>1.5*T57</x:f>
        <x:v>0</x:v>
      </x:c>
      <x:c r="V57" s="20" t="n">
        <x:f>0.85*T57</x:f>
        <x:v>0</x:v>
      </x:c>
      <x:c r="W57" s="20" t="n">
        <x:f>IF(Pile_Input!$B$5&gt;1.5,U57,V57)</x:f>
        <x:v>0</x:v>
      </x:c>
      <x:c r="X57" s="20" t="n">
        <x:f>0.75*S57</x:f>
        <x:v>0</x:v>
      </x:c>
      <x:c r="Y57" s="20" t="n">
        <x:f>IF(E57="S",W57*TAN(RADIANS(X57)),0)</x:f>
        <x:v>0</x:v>
      </x:c>
      <x:c r="Z57" s="20" t="n">
        <x:f>P57*O57</x:f>
        <x:v>0</x:v>
      </x:c>
      <x:c r="AA57" s="20" t="n">
        <x:f>Y57*M57</x:f>
        <x:v>0</x:v>
      </x:c>
      <x:c r="AB57" s="20" t="n">
        <x:f>IF(E57="C",Z57,IF(E57="S",AA57,0))</x:f>
        <x:v>0</x:v>
      </x:c>
      <x:c r="AC57" s="20" t="n">
        <x:f>IF(B57&lt;Pile_Input!$B$8,0,MAX(AB57,0))</x:f>
        <x:v>0</x:v>
      </x:c>
      <x:c r="AD57" s="20" t="n">
        <x:f>Pile_Input!$B$7*I57</x:f>
        <x:v>0</x:v>
      </x:c>
      <x:c r="AE57" s="20" t="n">
        <x:f>AC57*AD57</x:f>
        <x:v>0</x:v>
      </x:c>
      <x:c r="AF57" s="20" t="n">
        <x:f>SUM($AE$2:AE57)</x:f>
        <x:v>2.417753626718237</x:v>
      </x:c>
      <x:c r="AG57" s="20" t="n">
        <x:f>IF(E57="S",EXP(PI()*TAN(RADIANS(S57)))*TAN(RADIANS(45+S57/2))^2*(1+TAN(RADIANS(S57))),0)</x:f>
        <x:v>0</x:v>
      </x:c>
      <x:c r="AH57" s="20" t="n">
        <x:f>IF(E57="S",0.6934*EXP(0.0974*S57),0)</x:f>
        <x:v>0</x:v>
      </x:c>
      <x:c r="AI57" s="20" t="n">
        <x:f>IF(Pile_Input!$B$5&gt;1.5,AG57,AH57)</x:f>
        <x:v>0</x:v>
      </x:c>
      <x:c r="AJ57" s="20" t="n">
        <x:f>IF(E57="S",2*(AI57+1)*TAN(RADIANS(S57)),0)</x:f>
        <x:v>0</x:v>
      </x:c>
      <x:c r="AK57" s="20" t="n">
        <x:f>MIN(9*O57,Pile_Input!$B$12)</x:f>
        <x:v>0</x:v>
      </x:c>
      <x:c r="AL57" s="20" t="n">
        <x:f>MIN((AI57-1)*L57,Pile_Input!$B$12)</x:f>
        <x:v>0</x:v>
      </x:c>
      <x:c r="AM57" s="20" t="n">
        <x:f>IF(E57="C",AK57,IF(E57="S",AL57,0))</x:f>
        <x:v>0</x:v>
      </x:c>
      <x:c r="AN57" s="20" t="e">
        <x:f>AVERAGE(INDEX($AM:$AM,MAX(2,ROW()-1)):INDEX($AM:$AM,MIN(101,ROW()+2)))</x:f>
      </x:c>
      <x:c r="AO57" s="20" t="e">
        <x:f>AN57*Pile_Input!$B$7</x:f>
      </x:c>
      <x:c r="AP57" s="20" t="e">
        <x:f>AF57+AO57</x:f>
      </x:c>
      <x:c r="AQ57" s="20" t="e">
        <x:f>AP57/Pile_Input!$B$11</x:f>
      </x:c>
      <x:c r="AR57" s="20" t="n">
        <x:f>0.25*Pile_Input!$B$4*10</x:f>
        <x:v>875</x:v>
      </x:c>
      <x:c r="AS57" s="20" t="n">
        <x:f>Pile_Input!$B$7*AR57</x:f>
        <x:v>1649.3361431346414</x:v>
      </x:c>
    </x:row>
    <x:row r="58">
      <x:c r="A58" s="20" t="n">
        <x:f>Layer_Input!A58</x:f>
        <x:v>0</x:v>
      </x:c>
      <x:c r="B58" s="20" t="n">
        <x:f>Layer_Input!B58</x:f>
        <x:v>0</x:v>
      </x:c>
      <x:c r="C58" s="20" t="n">
        <x:f>Layer_Input!C58</x:f>
        <x:v>0</x:v>
      </x:c>
      <x:c r="D58" s="20" t="n">
        <x:f>Layer_Input!D58</x:f>
        <x:v>0</x:v>
      </x:c>
      <x:c r="E58" s="20" t="n">
        <x:f>Layer_Input!E58</x:f>
        <x:v>0</x:v>
      </x:c>
      <x:c r="F58" s="20" t="n">
        <x:f>Layer_Input!F58</x:f>
        <x:v>0</x:v>
      </x:c>
      <x:c r="G58" s="20" t="n">
        <x:f>Layer_Input!G58</x:f>
        <x:v>0</x:v>
      </x:c>
      <x:c r="H58" s="20" t="n">
        <x:f>Layer_Input!H58</x:f>
        <x:v>0</x:v>
      </x:c>
      <x:c r="I58" s="20" t="n">
        <x:f>MAX(C58-B58,0)</x:f>
        <x:v>0</x:v>
      </x:c>
      <x:c r="J58" s="20" t="n">
        <x:f>MAX(IF(B58&lt;Pile_Input!$B$9,D58,D58-Pile_Input!$B$10),0)</x:f>
        <x:v>0</x:v>
      </x:c>
      <x:c r="K58" s="20" t="n">
        <x:f>J58*I58</x:f>
        <x:v>0</x:v>
      </x:c>
      <x:c r="L58" s="20" t="str">
        <x:f>IF(B58="","",SUM($K$2:K58))</x:f>
      </x:c>
      <x:c r="M58" s="20" t="str">
        <x:f>IF(B58="","",L58-K58/2)</x:f>
      </x:c>
      <x:c r="N58" s="20" t="n">
        <x:f>IF(ISNUMBER(H58),0.52*H58,"")</x:f>
        <x:v>0</x:v>
      </x:c>
      <x:c r="O58" s="20" t="n">
        <x:f>IF(E58="C",AVERAGE(G58,N58),0)</x:f>
        <x:v>0</x:v>
      </x:c>
      <x:c r="P58" s="20" t="n">
        <x:f>IF(E58="C",0.93*EXP(-0.0536*O58),0)</x:f>
        <x:v>0</x:v>
      </x:c>
      <x:c r="Q58" s="20" t="n">
        <x:f>IF(E58="S",0.77*LOG10(20*95.76/MAX(M58*9.81,0.0001)),0)</x:f>
        <x:v>0</x:v>
      </x:c>
      <x:c r="R58" s="20" t="n">
        <x:f>Q58*H58</x:f>
        <x:v>0</x:v>
      </x:c>
      <x:c r="S58" s="20" t="n">
        <x:f>IF(E58="S",27.1+0.3*R58-0.00054*R58^2,0)</x:f>
        <x:v>0</x:v>
      </x:c>
      <x:c r="T58" s="20" t="n">
        <x:f>IF(E58="S",1-SIN(RADIANS(S58)),0)</x:f>
        <x:v>0</x:v>
      </x:c>
      <x:c r="U58" s="20" t="n">
        <x:f>1.5*T58</x:f>
        <x:v>0</x:v>
      </x:c>
      <x:c r="V58" s="20" t="n">
        <x:f>0.85*T58</x:f>
        <x:v>0</x:v>
      </x:c>
      <x:c r="W58" s="20" t="n">
        <x:f>IF(Pile_Input!$B$5&gt;1.5,U58,V58)</x:f>
        <x:v>0</x:v>
      </x:c>
      <x:c r="X58" s="20" t="n">
        <x:f>0.75*S58</x:f>
        <x:v>0</x:v>
      </x:c>
      <x:c r="Y58" s="20" t="n">
        <x:f>IF(E58="S",W58*TAN(RADIANS(X58)),0)</x:f>
        <x:v>0</x:v>
      </x:c>
      <x:c r="Z58" s="20" t="n">
        <x:f>P58*O58</x:f>
        <x:v>0</x:v>
      </x:c>
      <x:c r="AA58" s="20" t="n">
        <x:f>Y58*M58</x:f>
        <x:v>0</x:v>
      </x:c>
      <x:c r="AB58" s="20" t="n">
        <x:f>IF(E58="C",Z58,IF(E58="S",AA58,0))</x:f>
        <x:v>0</x:v>
      </x:c>
      <x:c r="AC58" s="20" t="n">
        <x:f>IF(B58&lt;Pile_Input!$B$8,0,MAX(AB58,0))</x:f>
        <x:v>0</x:v>
      </x:c>
      <x:c r="AD58" s="20" t="n">
        <x:f>Pile_Input!$B$7*I58</x:f>
        <x:v>0</x:v>
      </x:c>
      <x:c r="AE58" s="20" t="n">
        <x:f>AC58*AD58</x:f>
        <x:v>0</x:v>
      </x:c>
      <x:c r="AF58" s="20" t="n">
        <x:f>SUM($AE$2:AE58)</x:f>
        <x:v>2.417753626718237</x:v>
      </x:c>
      <x:c r="AG58" s="20" t="n">
        <x:f>IF(E58="S",EXP(PI()*TAN(RADIANS(S58)))*TAN(RADIANS(45+S58/2))^2*(1+TAN(RADIANS(S58))),0)</x:f>
        <x:v>0</x:v>
      </x:c>
      <x:c r="AH58" s="20" t="n">
        <x:f>IF(E58="S",0.6934*EXP(0.0974*S58),0)</x:f>
        <x:v>0</x:v>
      </x:c>
      <x:c r="AI58" s="20" t="n">
        <x:f>IF(Pile_Input!$B$5&gt;1.5,AG58,AH58)</x:f>
        <x:v>0</x:v>
      </x:c>
      <x:c r="AJ58" s="20" t="n">
        <x:f>IF(E58="S",2*(AI58+1)*TAN(RADIANS(S58)),0)</x:f>
        <x:v>0</x:v>
      </x:c>
      <x:c r="AK58" s="20" t="n">
        <x:f>MIN(9*O58,Pile_Input!$B$12)</x:f>
        <x:v>0</x:v>
      </x:c>
      <x:c r="AL58" s="20" t="n">
        <x:f>MIN((AI58-1)*L58,Pile_Input!$B$12)</x:f>
        <x:v>0</x:v>
      </x:c>
      <x:c r="AM58" s="20" t="n">
        <x:f>IF(E58="C",AK58,IF(E58="S",AL58,0))</x:f>
        <x:v>0</x:v>
      </x:c>
      <x:c r="AN58" s="20" t="e">
        <x:f>AVERAGE(INDEX($AM:$AM,MAX(2,ROW()-1)):INDEX($AM:$AM,MIN(101,ROW()+2)))</x:f>
      </x:c>
      <x:c r="AO58" s="20" t="e">
        <x:f>AN58*Pile_Input!$B$7</x:f>
      </x:c>
      <x:c r="AP58" s="20" t="e">
        <x:f>AF58+AO58</x:f>
      </x:c>
      <x:c r="AQ58" s="20" t="e">
        <x:f>AP58/Pile_Input!$B$11</x:f>
      </x:c>
      <x:c r="AR58" s="20" t="n">
        <x:f>0.25*Pile_Input!$B$4*10</x:f>
        <x:v>875</x:v>
      </x:c>
      <x:c r="AS58" s="20" t="n">
        <x:f>Pile_Input!$B$7*AR58</x:f>
        <x:v>1649.3361431346414</x:v>
      </x:c>
    </x:row>
    <x:row r="59">
      <x:c r="A59" s="20" t="n">
        <x:f>Layer_Input!A59</x:f>
        <x:v>0</x:v>
      </x:c>
      <x:c r="B59" s="20" t="n">
        <x:f>Layer_Input!B59</x:f>
        <x:v>0</x:v>
      </x:c>
      <x:c r="C59" s="20" t="n">
        <x:f>Layer_Input!C59</x:f>
        <x:v>0</x:v>
      </x:c>
      <x:c r="D59" s="20" t="n">
        <x:f>Layer_Input!D59</x:f>
        <x:v>0</x:v>
      </x:c>
      <x:c r="E59" s="20" t="n">
        <x:f>Layer_Input!E59</x:f>
        <x:v>0</x:v>
      </x:c>
      <x:c r="F59" s="20" t="n">
        <x:f>Layer_Input!F59</x:f>
        <x:v>0</x:v>
      </x:c>
      <x:c r="G59" s="20" t="n">
        <x:f>Layer_Input!G59</x:f>
        <x:v>0</x:v>
      </x:c>
      <x:c r="H59" s="20" t="n">
        <x:f>Layer_Input!H59</x:f>
        <x:v>0</x:v>
      </x:c>
      <x:c r="I59" s="20" t="n">
        <x:f>MAX(C59-B59,0)</x:f>
        <x:v>0</x:v>
      </x:c>
      <x:c r="J59" s="20" t="n">
        <x:f>MAX(IF(B59&lt;Pile_Input!$B$9,D59,D59-Pile_Input!$B$10),0)</x:f>
        <x:v>0</x:v>
      </x:c>
      <x:c r="K59" s="20" t="n">
        <x:f>J59*I59</x:f>
        <x:v>0</x:v>
      </x:c>
      <x:c r="L59" s="20" t="str">
        <x:f>IF(B59="","",SUM($K$2:K59))</x:f>
      </x:c>
      <x:c r="M59" s="20" t="str">
        <x:f>IF(B59="","",L59-K59/2)</x:f>
      </x:c>
      <x:c r="N59" s="20" t="n">
        <x:f>IF(ISNUMBER(H59),0.52*H59,"")</x:f>
        <x:v>0</x:v>
      </x:c>
      <x:c r="O59" s="20" t="n">
        <x:f>IF(E59="C",AVERAGE(G59,N59),0)</x:f>
        <x:v>0</x:v>
      </x:c>
      <x:c r="P59" s="20" t="n">
        <x:f>IF(E59="C",0.93*EXP(-0.0536*O59),0)</x:f>
        <x:v>0</x:v>
      </x:c>
      <x:c r="Q59" s="20" t="n">
        <x:f>IF(E59="S",0.77*LOG10(20*95.76/MAX(M59*9.81,0.0001)),0)</x:f>
        <x:v>0</x:v>
      </x:c>
      <x:c r="R59" s="20" t="n">
        <x:f>Q59*H59</x:f>
        <x:v>0</x:v>
      </x:c>
      <x:c r="S59" s="20" t="n">
        <x:f>IF(E59="S",27.1+0.3*R59-0.00054*R59^2,0)</x:f>
        <x:v>0</x:v>
      </x:c>
      <x:c r="T59" s="20" t="n">
        <x:f>IF(E59="S",1-SIN(RADIANS(S59)),0)</x:f>
        <x:v>0</x:v>
      </x:c>
      <x:c r="U59" s="20" t="n">
        <x:f>1.5*T59</x:f>
        <x:v>0</x:v>
      </x:c>
      <x:c r="V59" s="20" t="n">
        <x:f>0.85*T59</x:f>
        <x:v>0</x:v>
      </x:c>
      <x:c r="W59" s="20" t="n">
        <x:f>IF(Pile_Input!$B$5&gt;1.5,U59,V59)</x:f>
        <x:v>0</x:v>
      </x:c>
      <x:c r="X59" s="20" t="n">
        <x:f>0.75*S59</x:f>
        <x:v>0</x:v>
      </x:c>
      <x:c r="Y59" s="20" t="n">
        <x:f>IF(E59="S",W59*TAN(RADIANS(X59)),0)</x:f>
        <x:v>0</x:v>
      </x:c>
      <x:c r="Z59" s="20" t="n">
        <x:f>P59*O59</x:f>
        <x:v>0</x:v>
      </x:c>
      <x:c r="AA59" s="20" t="n">
        <x:f>Y59*M59</x:f>
        <x:v>0</x:v>
      </x:c>
      <x:c r="AB59" s="20" t="n">
        <x:f>IF(E59="C",Z59,IF(E59="S",AA59,0))</x:f>
        <x:v>0</x:v>
      </x:c>
      <x:c r="AC59" s="20" t="n">
        <x:f>IF(B59&lt;Pile_Input!$B$8,0,MAX(AB59,0))</x:f>
        <x:v>0</x:v>
      </x:c>
      <x:c r="AD59" s="20" t="n">
        <x:f>Pile_Input!$B$7*I59</x:f>
        <x:v>0</x:v>
      </x:c>
      <x:c r="AE59" s="20" t="n">
        <x:f>AC59*AD59</x:f>
        <x:v>0</x:v>
      </x:c>
      <x:c r="AF59" s="20" t="n">
        <x:f>SUM($AE$2:AE59)</x:f>
        <x:v>2.417753626718237</x:v>
      </x:c>
      <x:c r="AG59" s="20" t="n">
        <x:f>IF(E59="S",EXP(PI()*TAN(RADIANS(S59)))*TAN(RADIANS(45+S59/2))^2*(1+TAN(RADIANS(S59))),0)</x:f>
        <x:v>0</x:v>
      </x:c>
      <x:c r="AH59" s="20" t="n">
        <x:f>IF(E59="S",0.6934*EXP(0.0974*S59),0)</x:f>
        <x:v>0</x:v>
      </x:c>
      <x:c r="AI59" s="20" t="n">
        <x:f>IF(Pile_Input!$B$5&gt;1.5,AG59,AH59)</x:f>
        <x:v>0</x:v>
      </x:c>
      <x:c r="AJ59" s="20" t="n">
        <x:f>IF(E59="S",2*(AI59+1)*TAN(RADIANS(S59)),0)</x:f>
        <x:v>0</x:v>
      </x:c>
      <x:c r="AK59" s="20" t="n">
        <x:f>MIN(9*O59,Pile_Input!$B$12)</x:f>
        <x:v>0</x:v>
      </x:c>
      <x:c r="AL59" s="20" t="n">
        <x:f>MIN((AI59-1)*L59,Pile_Input!$B$12)</x:f>
        <x:v>0</x:v>
      </x:c>
      <x:c r="AM59" s="20" t="n">
        <x:f>IF(E59="C",AK59,IF(E59="S",AL59,0))</x:f>
        <x:v>0</x:v>
      </x:c>
      <x:c r="AN59" s="20" t="e">
        <x:f>AVERAGE(INDEX($AM:$AM,MAX(2,ROW()-1)):INDEX($AM:$AM,MIN(101,ROW()+2)))</x:f>
      </x:c>
      <x:c r="AO59" s="20" t="e">
        <x:f>AN59*Pile_Input!$B$7</x:f>
      </x:c>
      <x:c r="AP59" s="20" t="e">
        <x:f>AF59+AO59</x:f>
      </x:c>
      <x:c r="AQ59" s="20" t="e">
        <x:f>AP59/Pile_Input!$B$11</x:f>
      </x:c>
      <x:c r="AR59" s="20" t="n">
        <x:f>0.25*Pile_Input!$B$4*10</x:f>
        <x:v>875</x:v>
      </x:c>
      <x:c r="AS59" s="20" t="n">
        <x:f>Pile_Input!$B$7*AR59</x:f>
        <x:v>1649.3361431346414</x:v>
      </x:c>
    </x:row>
    <x:row r="60">
      <x:c r="A60" s="20" t="n">
        <x:f>Layer_Input!A60</x:f>
        <x:v>0</x:v>
      </x:c>
      <x:c r="B60" s="20" t="n">
        <x:f>Layer_Input!B60</x:f>
        <x:v>0</x:v>
      </x:c>
      <x:c r="C60" s="20" t="n">
        <x:f>Layer_Input!C60</x:f>
        <x:v>0</x:v>
      </x:c>
      <x:c r="D60" s="20" t="n">
        <x:f>Layer_Input!D60</x:f>
        <x:v>0</x:v>
      </x:c>
      <x:c r="E60" s="20" t="n">
        <x:f>Layer_Input!E60</x:f>
        <x:v>0</x:v>
      </x:c>
      <x:c r="F60" s="20" t="n">
        <x:f>Layer_Input!F60</x:f>
        <x:v>0</x:v>
      </x:c>
      <x:c r="G60" s="20" t="n">
        <x:f>Layer_Input!G60</x:f>
        <x:v>0</x:v>
      </x:c>
      <x:c r="H60" s="20" t="n">
        <x:f>Layer_Input!H60</x:f>
        <x:v>0</x:v>
      </x:c>
      <x:c r="I60" s="20" t="n">
        <x:f>MAX(C60-B60,0)</x:f>
        <x:v>0</x:v>
      </x:c>
      <x:c r="J60" s="20" t="n">
        <x:f>MAX(IF(B60&lt;Pile_Input!$B$9,D60,D60-Pile_Input!$B$10),0)</x:f>
        <x:v>0</x:v>
      </x:c>
      <x:c r="K60" s="20" t="n">
        <x:f>J60*I60</x:f>
        <x:v>0</x:v>
      </x:c>
      <x:c r="L60" s="20" t="str">
        <x:f>IF(B60="","",SUM($K$2:K60))</x:f>
      </x:c>
      <x:c r="M60" s="20" t="str">
        <x:f>IF(B60="","",L60-K60/2)</x:f>
      </x:c>
      <x:c r="N60" s="20" t="n">
        <x:f>IF(ISNUMBER(H60),0.52*H60,"")</x:f>
        <x:v>0</x:v>
      </x:c>
      <x:c r="O60" s="20" t="n">
        <x:f>IF(E60="C",AVERAGE(G60,N60),0)</x:f>
        <x:v>0</x:v>
      </x:c>
      <x:c r="P60" s="20" t="n">
        <x:f>IF(E60="C",0.93*EXP(-0.0536*O60),0)</x:f>
        <x:v>0</x:v>
      </x:c>
      <x:c r="Q60" s="20" t="n">
        <x:f>IF(E60="S",0.77*LOG10(20*95.76/MAX(M60*9.81,0.0001)),0)</x:f>
        <x:v>0</x:v>
      </x:c>
      <x:c r="R60" s="20" t="n">
        <x:f>Q60*H60</x:f>
        <x:v>0</x:v>
      </x:c>
      <x:c r="S60" s="20" t="n">
        <x:f>IF(E60="S",27.1+0.3*R60-0.00054*R60^2,0)</x:f>
        <x:v>0</x:v>
      </x:c>
      <x:c r="T60" s="20" t="n">
        <x:f>IF(E60="S",1-SIN(RADIANS(S60)),0)</x:f>
        <x:v>0</x:v>
      </x:c>
      <x:c r="U60" s="20" t="n">
        <x:f>1.5*T60</x:f>
        <x:v>0</x:v>
      </x:c>
      <x:c r="V60" s="20" t="n">
        <x:f>0.85*T60</x:f>
        <x:v>0</x:v>
      </x:c>
      <x:c r="W60" s="20" t="n">
        <x:f>IF(Pile_Input!$B$5&gt;1.5,U60,V60)</x:f>
        <x:v>0</x:v>
      </x:c>
      <x:c r="X60" s="20" t="n">
        <x:f>0.75*S60</x:f>
        <x:v>0</x:v>
      </x:c>
      <x:c r="Y60" s="20" t="n">
        <x:f>IF(E60="S",W60*TAN(RADIANS(X60)),0)</x:f>
        <x:v>0</x:v>
      </x:c>
      <x:c r="Z60" s="20" t="n">
        <x:f>P60*O60</x:f>
        <x:v>0</x:v>
      </x:c>
      <x:c r="AA60" s="20" t="n">
        <x:f>Y60*M60</x:f>
        <x:v>0</x:v>
      </x:c>
      <x:c r="AB60" s="20" t="n">
        <x:f>IF(E60="C",Z60,IF(E60="S",AA60,0))</x:f>
        <x:v>0</x:v>
      </x:c>
      <x:c r="AC60" s="20" t="n">
        <x:f>IF(B60&lt;Pile_Input!$B$8,0,MAX(AB60,0))</x:f>
        <x:v>0</x:v>
      </x:c>
      <x:c r="AD60" s="20" t="n">
        <x:f>Pile_Input!$B$7*I60</x:f>
        <x:v>0</x:v>
      </x:c>
      <x:c r="AE60" s="20" t="n">
        <x:f>AC60*AD60</x:f>
        <x:v>0</x:v>
      </x:c>
      <x:c r="AF60" s="20" t="n">
        <x:f>SUM($AE$2:AE60)</x:f>
        <x:v>2.417753626718237</x:v>
      </x:c>
      <x:c r="AG60" s="20" t="n">
        <x:f>IF(E60="S",EXP(PI()*TAN(RADIANS(S60)))*TAN(RADIANS(45+S60/2))^2*(1+TAN(RADIANS(S60))),0)</x:f>
        <x:v>0</x:v>
      </x:c>
      <x:c r="AH60" s="20" t="n">
        <x:f>IF(E60="S",0.6934*EXP(0.0974*S60),0)</x:f>
        <x:v>0</x:v>
      </x:c>
      <x:c r="AI60" s="20" t="n">
        <x:f>IF(Pile_Input!$B$5&gt;1.5,AG60,AH60)</x:f>
        <x:v>0</x:v>
      </x:c>
      <x:c r="AJ60" s="20" t="n">
        <x:f>IF(E60="S",2*(AI60+1)*TAN(RADIANS(S60)),0)</x:f>
        <x:v>0</x:v>
      </x:c>
      <x:c r="AK60" s="20" t="n">
        <x:f>MIN(9*O60,Pile_Input!$B$12)</x:f>
        <x:v>0</x:v>
      </x:c>
      <x:c r="AL60" s="20" t="n">
        <x:f>MIN((AI60-1)*L60,Pile_Input!$B$12)</x:f>
        <x:v>0</x:v>
      </x:c>
      <x:c r="AM60" s="20" t="n">
        <x:f>IF(E60="C",AK60,IF(E60="S",AL60,0))</x:f>
        <x:v>0</x:v>
      </x:c>
      <x:c r="AN60" s="20" t="e">
        <x:f>AVERAGE(INDEX($AM:$AM,MAX(2,ROW()-1)):INDEX($AM:$AM,MIN(101,ROW()+2)))</x:f>
      </x:c>
      <x:c r="AO60" s="20" t="e">
        <x:f>AN60*Pile_Input!$B$7</x:f>
      </x:c>
      <x:c r="AP60" s="20" t="e">
        <x:f>AF60+AO60</x:f>
      </x:c>
      <x:c r="AQ60" s="20" t="e">
        <x:f>AP60/Pile_Input!$B$11</x:f>
      </x:c>
      <x:c r="AR60" s="20" t="n">
        <x:f>0.25*Pile_Input!$B$4*10</x:f>
        <x:v>875</x:v>
      </x:c>
      <x:c r="AS60" s="20" t="n">
        <x:f>Pile_Input!$B$7*AR60</x:f>
        <x:v>1649.3361431346414</x:v>
      </x:c>
    </x:row>
    <x:row r="61">
      <x:c r="A61" s="20" t="n">
        <x:f>Layer_Input!A61</x:f>
        <x:v>0</x:v>
      </x:c>
      <x:c r="B61" s="20" t="n">
        <x:f>Layer_Input!B61</x:f>
        <x:v>0</x:v>
      </x:c>
      <x:c r="C61" s="20" t="n">
        <x:f>Layer_Input!C61</x:f>
        <x:v>0</x:v>
      </x:c>
      <x:c r="D61" s="20" t="n">
        <x:f>Layer_Input!D61</x:f>
        <x:v>0</x:v>
      </x:c>
      <x:c r="E61" s="20" t="n">
        <x:f>Layer_Input!E61</x:f>
        <x:v>0</x:v>
      </x:c>
      <x:c r="F61" s="20" t="n">
        <x:f>Layer_Input!F61</x:f>
        <x:v>0</x:v>
      </x:c>
      <x:c r="G61" s="20" t="n">
        <x:f>Layer_Input!G61</x:f>
        <x:v>0</x:v>
      </x:c>
      <x:c r="H61" s="20" t="n">
        <x:f>Layer_Input!H61</x:f>
        <x:v>0</x:v>
      </x:c>
      <x:c r="I61" s="20" t="n">
        <x:f>MAX(C61-B61,0)</x:f>
        <x:v>0</x:v>
      </x:c>
      <x:c r="J61" s="20" t="n">
        <x:f>MAX(IF(B61&lt;Pile_Input!$B$9,D61,D61-Pile_Input!$B$10),0)</x:f>
        <x:v>0</x:v>
      </x:c>
      <x:c r="K61" s="20" t="n">
        <x:f>J61*I61</x:f>
        <x:v>0</x:v>
      </x:c>
      <x:c r="L61" s="20" t="str">
        <x:f>IF(B61="","",SUM($K$2:K61))</x:f>
      </x:c>
      <x:c r="M61" s="20" t="str">
        <x:f>IF(B61="","",L61-K61/2)</x:f>
      </x:c>
      <x:c r="N61" s="20" t="n">
        <x:f>IF(ISNUMBER(H61),0.52*H61,"")</x:f>
        <x:v>0</x:v>
      </x:c>
      <x:c r="O61" s="20" t="n">
        <x:f>IF(E61="C",AVERAGE(G61,N61),0)</x:f>
        <x:v>0</x:v>
      </x:c>
      <x:c r="P61" s="20" t="n">
        <x:f>IF(E61="C",0.93*EXP(-0.0536*O61),0)</x:f>
        <x:v>0</x:v>
      </x:c>
      <x:c r="Q61" s="20" t="n">
        <x:f>IF(E61="S",0.77*LOG10(20*95.76/MAX(M61*9.81,0.0001)),0)</x:f>
        <x:v>0</x:v>
      </x:c>
      <x:c r="R61" s="20" t="n">
        <x:f>Q61*H61</x:f>
        <x:v>0</x:v>
      </x:c>
      <x:c r="S61" s="20" t="n">
        <x:f>IF(E61="S",27.1+0.3*R61-0.00054*R61^2,0)</x:f>
        <x:v>0</x:v>
      </x:c>
      <x:c r="T61" s="20" t="n">
        <x:f>IF(E61="S",1-SIN(RADIANS(S61)),0)</x:f>
        <x:v>0</x:v>
      </x:c>
      <x:c r="U61" s="20" t="n">
        <x:f>1.5*T61</x:f>
        <x:v>0</x:v>
      </x:c>
      <x:c r="V61" s="20" t="n">
        <x:f>0.85*T61</x:f>
        <x:v>0</x:v>
      </x:c>
      <x:c r="W61" s="20" t="n">
        <x:f>IF(Pile_Input!$B$5&gt;1.5,U61,V61)</x:f>
        <x:v>0</x:v>
      </x:c>
      <x:c r="X61" s="20" t="n">
        <x:f>0.75*S61</x:f>
        <x:v>0</x:v>
      </x:c>
      <x:c r="Y61" s="20" t="n">
        <x:f>IF(E61="S",W61*TAN(RADIANS(X61)),0)</x:f>
        <x:v>0</x:v>
      </x:c>
      <x:c r="Z61" s="20" t="n">
        <x:f>P61*O61</x:f>
        <x:v>0</x:v>
      </x:c>
      <x:c r="AA61" s="20" t="n">
        <x:f>Y61*M61</x:f>
        <x:v>0</x:v>
      </x:c>
      <x:c r="AB61" s="20" t="n">
        <x:f>IF(E61="C",Z61,IF(E61="S",AA61,0))</x:f>
        <x:v>0</x:v>
      </x:c>
      <x:c r="AC61" s="20" t="n">
        <x:f>IF(B61&lt;Pile_Input!$B$8,0,MAX(AB61,0))</x:f>
        <x:v>0</x:v>
      </x:c>
      <x:c r="AD61" s="20" t="n">
        <x:f>Pile_Input!$B$7*I61</x:f>
        <x:v>0</x:v>
      </x:c>
      <x:c r="AE61" s="20" t="n">
        <x:f>AC61*AD61</x:f>
        <x:v>0</x:v>
      </x:c>
      <x:c r="AF61" s="20" t="n">
        <x:f>SUM($AE$2:AE61)</x:f>
        <x:v>2.417753626718237</x:v>
      </x:c>
      <x:c r="AG61" s="20" t="n">
        <x:f>IF(E61="S",EXP(PI()*TAN(RADIANS(S61)))*TAN(RADIANS(45+S61/2))^2*(1+TAN(RADIANS(S61))),0)</x:f>
        <x:v>0</x:v>
      </x:c>
      <x:c r="AH61" s="20" t="n">
        <x:f>IF(E61="S",0.6934*EXP(0.0974*S61),0)</x:f>
        <x:v>0</x:v>
      </x:c>
      <x:c r="AI61" s="20" t="n">
        <x:f>IF(Pile_Input!$B$5&gt;1.5,AG61,AH61)</x:f>
        <x:v>0</x:v>
      </x:c>
      <x:c r="AJ61" s="20" t="n">
        <x:f>IF(E61="S",2*(AI61+1)*TAN(RADIANS(S61)),0)</x:f>
        <x:v>0</x:v>
      </x:c>
      <x:c r="AK61" s="20" t="n">
        <x:f>MIN(9*O61,Pile_Input!$B$12)</x:f>
        <x:v>0</x:v>
      </x:c>
      <x:c r="AL61" s="20" t="n">
        <x:f>MIN((AI61-1)*L61,Pile_Input!$B$12)</x:f>
        <x:v>0</x:v>
      </x:c>
      <x:c r="AM61" s="20" t="n">
        <x:f>IF(E61="C",AK61,IF(E61="S",AL61,0))</x:f>
        <x:v>0</x:v>
      </x:c>
      <x:c r="AN61" s="20" t="e">
        <x:f>AVERAGE(INDEX($AM:$AM,MAX(2,ROW()-1)):INDEX($AM:$AM,MIN(101,ROW()+2)))</x:f>
      </x:c>
      <x:c r="AO61" s="20" t="e">
        <x:f>AN61*Pile_Input!$B$7</x:f>
      </x:c>
      <x:c r="AP61" s="20" t="e">
        <x:f>AF61+AO61</x:f>
      </x:c>
      <x:c r="AQ61" s="20" t="e">
        <x:f>AP61/Pile_Input!$B$11</x:f>
      </x:c>
      <x:c r="AR61" s="20" t="n">
        <x:f>0.25*Pile_Input!$B$4*10</x:f>
        <x:v>875</x:v>
      </x:c>
      <x:c r="AS61" s="20" t="n">
        <x:f>Pile_Input!$B$7*AR61</x:f>
        <x:v>1649.3361431346414</x:v>
      </x:c>
    </x:row>
    <x:row r="62">
      <x:c r="A62" s="20" t="n">
        <x:f>Layer_Input!A62</x:f>
        <x:v>0</x:v>
      </x:c>
      <x:c r="B62" s="20" t="n">
        <x:f>Layer_Input!B62</x:f>
        <x:v>0</x:v>
      </x:c>
      <x:c r="C62" s="20" t="n">
        <x:f>Layer_Input!C62</x:f>
        <x:v>0</x:v>
      </x:c>
      <x:c r="D62" s="20" t="n">
        <x:f>Layer_Input!D62</x:f>
        <x:v>0</x:v>
      </x:c>
      <x:c r="E62" s="20" t="n">
        <x:f>Layer_Input!E62</x:f>
        <x:v>0</x:v>
      </x:c>
      <x:c r="F62" s="20" t="n">
        <x:f>Layer_Input!F62</x:f>
        <x:v>0</x:v>
      </x:c>
      <x:c r="G62" s="20" t="n">
        <x:f>Layer_Input!G62</x:f>
        <x:v>0</x:v>
      </x:c>
      <x:c r="H62" s="20" t="n">
        <x:f>Layer_Input!H62</x:f>
        <x:v>0</x:v>
      </x:c>
      <x:c r="I62" s="20" t="n">
        <x:f>MAX(C62-B62,0)</x:f>
        <x:v>0</x:v>
      </x:c>
      <x:c r="J62" s="20" t="n">
        <x:f>MAX(IF(B62&lt;Pile_Input!$B$9,D62,D62-Pile_Input!$B$10),0)</x:f>
        <x:v>0</x:v>
      </x:c>
      <x:c r="K62" s="20" t="n">
        <x:f>J62*I62</x:f>
        <x:v>0</x:v>
      </x:c>
      <x:c r="L62" s="20" t="str">
        <x:f>IF(B62="","",SUM($K$2:K62))</x:f>
      </x:c>
      <x:c r="M62" s="20" t="str">
        <x:f>IF(B62="","",L62-K62/2)</x:f>
      </x:c>
      <x:c r="N62" s="20" t="n">
        <x:f>IF(ISNUMBER(H62),0.52*H62,"")</x:f>
        <x:v>0</x:v>
      </x:c>
      <x:c r="O62" s="20" t="n">
        <x:f>IF(E62="C",AVERAGE(G62,N62),0)</x:f>
        <x:v>0</x:v>
      </x:c>
      <x:c r="P62" s="20" t="n">
        <x:f>IF(E62="C",0.93*EXP(-0.0536*O62),0)</x:f>
        <x:v>0</x:v>
      </x:c>
      <x:c r="Q62" s="20" t="n">
        <x:f>IF(E62="S",0.77*LOG10(20*95.76/MAX(M62*9.81,0.0001)),0)</x:f>
        <x:v>0</x:v>
      </x:c>
      <x:c r="R62" s="20" t="n">
        <x:f>Q62*H62</x:f>
        <x:v>0</x:v>
      </x:c>
      <x:c r="S62" s="20" t="n">
        <x:f>IF(E62="S",27.1+0.3*R62-0.00054*R62^2,0)</x:f>
        <x:v>0</x:v>
      </x:c>
      <x:c r="T62" s="20" t="n">
        <x:f>IF(E62="S",1-SIN(RADIANS(S62)),0)</x:f>
        <x:v>0</x:v>
      </x:c>
      <x:c r="U62" s="20" t="n">
        <x:f>1.5*T62</x:f>
        <x:v>0</x:v>
      </x:c>
      <x:c r="V62" s="20" t="n">
        <x:f>0.85*T62</x:f>
        <x:v>0</x:v>
      </x:c>
      <x:c r="W62" s="20" t="n">
        <x:f>IF(Pile_Input!$B$5&gt;1.5,U62,V62)</x:f>
        <x:v>0</x:v>
      </x:c>
      <x:c r="X62" s="20" t="n">
        <x:f>0.75*S62</x:f>
        <x:v>0</x:v>
      </x:c>
      <x:c r="Y62" s="20" t="n">
        <x:f>IF(E62="S",W62*TAN(RADIANS(X62)),0)</x:f>
        <x:v>0</x:v>
      </x:c>
      <x:c r="Z62" s="20" t="n">
        <x:f>P62*O62</x:f>
        <x:v>0</x:v>
      </x:c>
      <x:c r="AA62" s="20" t="n">
        <x:f>Y62*M62</x:f>
        <x:v>0</x:v>
      </x:c>
      <x:c r="AB62" s="20" t="n">
        <x:f>IF(E62="C",Z62,IF(E62="S",AA62,0))</x:f>
        <x:v>0</x:v>
      </x:c>
      <x:c r="AC62" s="20" t="n">
        <x:f>IF(B62&lt;Pile_Input!$B$8,0,MAX(AB62,0))</x:f>
        <x:v>0</x:v>
      </x:c>
      <x:c r="AD62" s="20" t="n">
        <x:f>Pile_Input!$B$7*I62</x:f>
        <x:v>0</x:v>
      </x:c>
      <x:c r="AE62" s="20" t="n">
        <x:f>AC62*AD62</x:f>
        <x:v>0</x:v>
      </x:c>
      <x:c r="AF62" s="20" t="n">
        <x:f>SUM($AE$2:AE62)</x:f>
        <x:v>2.417753626718237</x:v>
      </x:c>
      <x:c r="AG62" s="20" t="n">
        <x:f>IF(E62="S",EXP(PI()*TAN(RADIANS(S62)))*TAN(RADIANS(45+S62/2))^2*(1+TAN(RADIANS(S62))),0)</x:f>
        <x:v>0</x:v>
      </x:c>
      <x:c r="AH62" s="20" t="n">
        <x:f>IF(E62="S",0.6934*EXP(0.0974*S62),0)</x:f>
        <x:v>0</x:v>
      </x:c>
      <x:c r="AI62" s="20" t="n">
        <x:f>IF(Pile_Input!$B$5&gt;1.5,AG62,AH62)</x:f>
        <x:v>0</x:v>
      </x:c>
      <x:c r="AJ62" s="20" t="n">
        <x:f>IF(E62="S",2*(AI62+1)*TAN(RADIANS(S62)),0)</x:f>
        <x:v>0</x:v>
      </x:c>
      <x:c r="AK62" s="20" t="n">
        <x:f>MIN(9*O62,Pile_Input!$B$12)</x:f>
        <x:v>0</x:v>
      </x:c>
      <x:c r="AL62" s="20" t="n">
        <x:f>MIN((AI62-1)*L62,Pile_Input!$B$12)</x:f>
        <x:v>0</x:v>
      </x:c>
      <x:c r="AM62" s="20" t="n">
        <x:f>IF(E62="C",AK62,IF(E62="S",AL62,0))</x:f>
        <x:v>0</x:v>
      </x:c>
      <x:c r="AN62" s="20" t="e">
        <x:f>AVERAGE(INDEX($AM:$AM,MAX(2,ROW()-1)):INDEX($AM:$AM,MIN(101,ROW()+2)))</x:f>
      </x:c>
      <x:c r="AO62" s="20" t="e">
        <x:f>AN62*Pile_Input!$B$7</x:f>
      </x:c>
      <x:c r="AP62" s="20" t="e">
        <x:f>AF62+AO62</x:f>
      </x:c>
      <x:c r="AQ62" s="20" t="e">
        <x:f>AP62/Pile_Input!$B$11</x:f>
      </x:c>
      <x:c r="AR62" s="20" t="n">
        <x:f>0.25*Pile_Input!$B$4*10</x:f>
        <x:v>875</x:v>
      </x:c>
      <x:c r="AS62" s="20" t="n">
        <x:f>Pile_Input!$B$7*AR62</x:f>
        <x:v>1649.3361431346414</x:v>
      </x:c>
    </x:row>
    <x:row r="63">
      <x:c r="A63" s="20" t="n">
        <x:f>Layer_Input!A63</x:f>
        <x:v>0</x:v>
      </x:c>
      <x:c r="B63" s="20" t="n">
        <x:f>Layer_Input!B63</x:f>
        <x:v>0</x:v>
      </x:c>
      <x:c r="C63" s="20" t="n">
        <x:f>Layer_Input!C63</x:f>
        <x:v>0</x:v>
      </x:c>
      <x:c r="D63" s="20" t="n">
        <x:f>Layer_Input!D63</x:f>
        <x:v>0</x:v>
      </x:c>
      <x:c r="E63" s="20" t="n">
        <x:f>Layer_Input!E63</x:f>
        <x:v>0</x:v>
      </x:c>
      <x:c r="F63" s="20" t="n">
        <x:f>Layer_Input!F63</x:f>
        <x:v>0</x:v>
      </x:c>
      <x:c r="G63" s="20" t="n">
        <x:f>Layer_Input!G63</x:f>
        <x:v>0</x:v>
      </x:c>
      <x:c r="H63" s="20" t="n">
        <x:f>Layer_Input!H63</x:f>
        <x:v>0</x:v>
      </x:c>
      <x:c r="I63" s="20" t="n">
        <x:f>MAX(C63-B63,0)</x:f>
        <x:v>0</x:v>
      </x:c>
      <x:c r="J63" s="20" t="n">
        <x:f>MAX(IF(B63&lt;Pile_Input!$B$9,D63,D63-Pile_Input!$B$10),0)</x:f>
        <x:v>0</x:v>
      </x:c>
      <x:c r="K63" s="20" t="n">
        <x:f>J63*I63</x:f>
        <x:v>0</x:v>
      </x:c>
      <x:c r="L63" s="20" t="str">
        <x:f>IF(B63="","",SUM($K$2:K63))</x:f>
      </x:c>
      <x:c r="M63" s="20" t="str">
        <x:f>IF(B63="","",L63-K63/2)</x:f>
      </x:c>
      <x:c r="N63" s="20" t="n">
        <x:f>IF(ISNUMBER(H63),0.52*H63,"")</x:f>
        <x:v>0</x:v>
      </x:c>
      <x:c r="O63" s="20" t="n">
        <x:f>IF(E63="C",AVERAGE(G63,N63),0)</x:f>
        <x:v>0</x:v>
      </x:c>
      <x:c r="P63" s="20" t="n">
        <x:f>IF(E63="C",0.93*EXP(-0.0536*O63),0)</x:f>
        <x:v>0</x:v>
      </x:c>
      <x:c r="Q63" s="20" t="n">
        <x:f>IF(E63="S",0.77*LOG10(20*95.76/MAX(M63*9.81,0.0001)),0)</x:f>
        <x:v>0</x:v>
      </x:c>
      <x:c r="R63" s="20" t="n">
        <x:f>Q63*H63</x:f>
        <x:v>0</x:v>
      </x:c>
      <x:c r="S63" s="20" t="n">
        <x:f>IF(E63="S",27.1+0.3*R63-0.00054*R63^2,0)</x:f>
        <x:v>0</x:v>
      </x:c>
      <x:c r="T63" s="20" t="n">
        <x:f>IF(E63="S",1-SIN(RADIANS(S63)),0)</x:f>
        <x:v>0</x:v>
      </x:c>
      <x:c r="U63" s="20" t="n">
        <x:f>1.5*T63</x:f>
        <x:v>0</x:v>
      </x:c>
      <x:c r="V63" s="20" t="n">
        <x:f>0.85*T63</x:f>
        <x:v>0</x:v>
      </x:c>
      <x:c r="W63" s="20" t="n">
        <x:f>IF(Pile_Input!$B$5&gt;1.5,U63,V63)</x:f>
        <x:v>0</x:v>
      </x:c>
      <x:c r="X63" s="20" t="n">
        <x:f>0.75*S63</x:f>
        <x:v>0</x:v>
      </x:c>
      <x:c r="Y63" s="20" t="n">
        <x:f>IF(E63="S",W63*TAN(RADIANS(X63)),0)</x:f>
        <x:v>0</x:v>
      </x:c>
      <x:c r="Z63" s="20" t="n">
        <x:f>P63*O63</x:f>
        <x:v>0</x:v>
      </x:c>
      <x:c r="AA63" s="20" t="n">
        <x:f>Y63*M63</x:f>
        <x:v>0</x:v>
      </x:c>
      <x:c r="AB63" s="20" t="n">
        <x:f>IF(E63="C",Z63,IF(E63="S",AA63,0))</x:f>
        <x:v>0</x:v>
      </x:c>
      <x:c r="AC63" s="20" t="n">
        <x:f>IF(B63&lt;Pile_Input!$B$8,0,MAX(AB63,0))</x:f>
        <x:v>0</x:v>
      </x:c>
      <x:c r="AD63" s="20" t="n">
        <x:f>Pile_Input!$B$7*I63</x:f>
        <x:v>0</x:v>
      </x:c>
      <x:c r="AE63" s="20" t="n">
        <x:f>AC63*AD63</x:f>
        <x:v>0</x:v>
      </x:c>
      <x:c r="AF63" s="20" t="n">
        <x:f>SUM($AE$2:AE63)</x:f>
        <x:v>2.417753626718237</x:v>
      </x:c>
      <x:c r="AG63" s="20" t="n">
        <x:f>IF(E63="S",EXP(PI()*TAN(RADIANS(S63)))*TAN(RADIANS(45+S63/2))^2*(1+TAN(RADIANS(S63))),0)</x:f>
        <x:v>0</x:v>
      </x:c>
      <x:c r="AH63" s="20" t="n">
        <x:f>IF(E63="S",0.6934*EXP(0.0974*S63),0)</x:f>
        <x:v>0</x:v>
      </x:c>
      <x:c r="AI63" s="20" t="n">
        <x:f>IF(Pile_Input!$B$5&gt;1.5,AG63,AH63)</x:f>
        <x:v>0</x:v>
      </x:c>
      <x:c r="AJ63" s="20" t="n">
        <x:f>IF(E63="S",2*(AI63+1)*TAN(RADIANS(S63)),0)</x:f>
        <x:v>0</x:v>
      </x:c>
      <x:c r="AK63" s="20" t="n">
        <x:f>MIN(9*O63,Pile_Input!$B$12)</x:f>
        <x:v>0</x:v>
      </x:c>
      <x:c r="AL63" s="20" t="n">
        <x:f>MIN((AI63-1)*L63,Pile_Input!$B$12)</x:f>
        <x:v>0</x:v>
      </x:c>
      <x:c r="AM63" s="20" t="n">
        <x:f>IF(E63="C",AK63,IF(E63="S",AL63,0))</x:f>
        <x:v>0</x:v>
      </x:c>
      <x:c r="AN63" s="20" t="e">
        <x:f>AVERAGE(INDEX($AM:$AM,MAX(2,ROW()-1)):INDEX($AM:$AM,MIN(101,ROW()+2)))</x:f>
      </x:c>
      <x:c r="AO63" s="20" t="e">
        <x:f>AN63*Pile_Input!$B$7</x:f>
      </x:c>
      <x:c r="AP63" s="20" t="e">
        <x:f>AF63+AO63</x:f>
      </x:c>
      <x:c r="AQ63" s="20" t="e">
        <x:f>AP63/Pile_Input!$B$11</x:f>
      </x:c>
      <x:c r="AR63" s="20" t="n">
        <x:f>0.25*Pile_Input!$B$4*10</x:f>
        <x:v>875</x:v>
      </x:c>
      <x:c r="AS63" s="20" t="n">
        <x:f>Pile_Input!$B$7*AR63</x:f>
        <x:v>1649.3361431346414</x:v>
      </x:c>
    </x:row>
    <x:row r="64">
      <x:c r="A64" s="20" t="n">
        <x:f>Layer_Input!A64</x:f>
        <x:v>0</x:v>
      </x:c>
      <x:c r="B64" s="20" t="n">
        <x:f>Layer_Input!B64</x:f>
        <x:v>0</x:v>
      </x:c>
      <x:c r="C64" s="20" t="n">
        <x:f>Layer_Input!C64</x:f>
        <x:v>0</x:v>
      </x:c>
      <x:c r="D64" s="20" t="n">
        <x:f>Layer_Input!D64</x:f>
        <x:v>0</x:v>
      </x:c>
      <x:c r="E64" s="20" t="n">
        <x:f>Layer_Input!E64</x:f>
        <x:v>0</x:v>
      </x:c>
      <x:c r="F64" s="20" t="n">
        <x:f>Layer_Input!F64</x:f>
        <x:v>0</x:v>
      </x:c>
      <x:c r="G64" s="20" t="n">
        <x:f>Layer_Input!G64</x:f>
        <x:v>0</x:v>
      </x:c>
      <x:c r="H64" s="20" t="n">
        <x:f>Layer_Input!H64</x:f>
        <x:v>0</x:v>
      </x:c>
      <x:c r="I64" s="20" t="n">
        <x:f>MAX(C64-B64,0)</x:f>
        <x:v>0</x:v>
      </x:c>
      <x:c r="J64" s="20" t="n">
        <x:f>MAX(IF(B64&lt;Pile_Input!$B$9,D64,D64-Pile_Input!$B$10),0)</x:f>
        <x:v>0</x:v>
      </x:c>
      <x:c r="K64" s="20" t="n">
        <x:f>J64*I64</x:f>
        <x:v>0</x:v>
      </x:c>
      <x:c r="L64" s="20" t="str">
        <x:f>IF(B64="","",SUM($K$2:K64))</x:f>
      </x:c>
      <x:c r="M64" s="20" t="str">
        <x:f>IF(B64="","",L64-K64/2)</x:f>
      </x:c>
      <x:c r="N64" s="20" t="n">
        <x:f>IF(ISNUMBER(H64),0.52*H64,"")</x:f>
        <x:v>0</x:v>
      </x:c>
      <x:c r="O64" s="20" t="n">
        <x:f>IF(E64="C",AVERAGE(G64,N64),0)</x:f>
        <x:v>0</x:v>
      </x:c>
      <x:c r="P64" s="20" t="n">
        <x:f>IF(E64="C",0.93*EXP(-0.0536*O64),0)</x:f>
        <x:v>0</x:v>
      </x:c>
      <x:c r="Q64" s="20" t="n">
        <x:f>IF(E64="S",0.77*LOG10(20*95.76/MAX(M64*9.81,0.0001)),0)</x:f>
        <x:v>0</x:v>
      </x:c>
      <x:c r="R64" s="20" t="n">
        <x:f>Q64*H64</x:f>
        <x:v>0</x:v>
      </x:c>
      <x:c r="S64" s="20" t="n">
        <x:f>IF(E64="S",27.1+0.3*R64-0.00054*R64^2,0)</x:f>
        <x:v>0</x:v>
      </x:c>
      <x:c r="T64" s="20" t="n">
        <x:f>IF(E64="S",1-SIN(RADIANS(S64)),0)</x:f>
        <x:v>0</x:v>
      </x:c>
      <x:c r="U64" s="20" t="n">
        <x:f>1.5*T64</x:f>
        <x:v>0</x:v>
      </x:c>
      <x:c r="V64" s="20" t="n">
        <x:f>0.85*T64</x:f>
        <x:v>0</x:v>
      </x:c>
      <x:c r="W64" s="20" t="n">
        <x:f>IF(Pile_Input!$B$5&gt;1.5,U64,V64)</x:f>
        <x:v>0</x:v>
      </x:c>
      <x:c r="X64" s="20" t="n">
        <x:f>0.75*S64</x:f>
        <x:v>0</x:v>
      </x:c>
      <x:c r="Y64" s="20" t="n">
        <x:f>IF(E64="S",W64*TAN(RADIANS(X64)),0)</x:f>
        <x:v>0</x:v>
      </x:c>
      <x:c r="Z64" s="20" t="n">
        <x:f>P64*O64</x:f>
        <x:v>0</x:v>
      </x:c>
      <x:c r="AA64" s="20" t="n">
        <x:f>Y64*M64</x:f>
        <x:v>0</x:v>
      </x:c>
      <x:c r="AB64" s="20" t="n">
        <x:f>IF(E64="C",Z64,IF(E64="S",AA64,0))</x:f>
        <x:v>0</x:v>
      </x:c>
      <x:c r="AC64" s="20" t="n">
        <x:f>IF(B64&lt;Pile_Input!$B$8,0,MAX(AB64,0))</x:f>
        <x:v>0</x:v>
      </x:c>
      <x:c r="AD64" s="20" t="n">
        <x:f>Pile_Input!$B$7*I64</x:f>
        <x:v>0</x:v>
      </x:c>
      <x:c r="AE64" s="20" t="n">
        <x:f>AC64*AD64</x:f>
        <x:v>0</x:v>
      </x:c>
      <x:c r="AF64" s="20" t="n">
        <x:f>SUM($AE$2:AE64)</x:f>
        <x:v>2.417753626718237</x:v>
      </x:c>
      <x:c r="AG64" s="20" t="n">
        <x:f>IF(E64="S",EXP(PI()*TAN(RADIANS(S64)))*TAN(RADIANS(45+S64/2))^2*(1+TAN(RADIANS(S64))),0)</x:f>
        <x:v>0</x:v>
      </x:c>
      <x:c r="AH64" s="20" t="n">
        <x:f>IF(E64="S",0.6934*EXP(0.0974*S64),0)</x:f>
        <x:v>0</x:v>
      </x:c>
      <x:c r="AI64" s="20" t="n">
        <x:f>IF(Pile_Input!$B$5&gt;1.5,AG64,AH64)</x:f>
        <x:v>0</x:v>
      </x:c>
      <x:c r="AJ64" s="20" t="n">
        <x:f>IF(E64="S",2*(AI64+1)*TAN(RADIANS(S64)),0)</x:f>
        <x:v>0</x:v>
      </x:c>
      <x:c r="AK64" s="20" t="n">
        <x:f>MIN(9*O64,Pile_Input!$B$12)</x:f>
        <x:v>0</x:v>
      </x:c>
      <x:c r="AL64" s="20" t="n">
        <x:f>MIN((AI64-1)*L64,Pile_Input!$B$12)</x:f>
        <x:v>0</x:v>
      </x:c>
      <x:c r="AM64" s="20" t="n">
        <x:f>IF(E64="C",AK64,IF(E64="S",AL64,0))</x:f>
        <x:v>0</x:v>
      </x:c>
      <x:c r="AN64" s="20" t="e">
        <x:f>AVERAGE(INDEX($AM:$AM,MAX(2,ROW()-1)):INDEX($AM:$AM,MIN(101,ROW()+2)))</x:f>
      </x:c>
      <x:c r="AO64" s="20" t="e">
        <x:f>AN64*Pile_Input!$B$7</x:f>
      </x:c>
      <x:c r="AP64" s="20" t="e">
        <x:f>AF64+AO64</x:f>
      </x:c>
      <x:c r="AQ64" s="20" t="e">
        <x:f>AP64/Pile_Input!$B$11</x:f>
      </x:c>
      <x:c r="AR64" s="20" t="n">
        <x:f>0.25*Pile_Input!$B$4*10</x:f>
        <x:v>875</x:v>
      </x:c>
      <x:c r="AS64" s="20" t="n">
        <x:f>Pile_Input!$B$7*AR64</x:f>
        <x:v>1649.3361431346414</x:v>
      </x:c>
    </x:row>
    <x:row r="65">
      <x:c r="A65" s="20" t="n">
        <x:f>Layer_Input!A65</x:f>
        <x:v>0</x:v>
      </x:c>
      <x:c r="B65" s="20" t="n">
        <x:f>Layer_Input!B65</x:f>
        <x:v>0</x:v>
      </x:c>
      <x:c r="C65" s="20" t="n">
        <x:f>Layer_Input!C65</x:f>
        <x:v>0</x:v>
      </x:c>
      <x:c r="D65" s="20" t="n">
        <x:f>Layer_Input!D65</x:f>
        <x:v>0</x:v>
      </x:c>
      <x:c r="E65" s="20" t="n">
        <x:f>Layer_Input!E65</x:f>
        <x:v>0</x:v>
      </x:c>
      <x:c r="F65" s="20" t="n">
        <x:f>Layer_Input!F65</x:f>
        <x:v>0</x:v>
      </x:c>
      <x:c r="G65" s="20" t="n">
        <x:f>Layer_Input!G65</x:f>
        <x:v>0</x:v>
      </x:c>
      <x:c r="H65" s="20" t="n">
        <x:f>Layer_Input!H65</x:f>
        <x:v>0</x:v>
      </x:c>
      <x:c r="I65" s="20" t="n">
        <x:f>MAX(C65-B65,0)</x:f>
        <x:v>0</x:v>
      </x:c>
      <x:c r="J65" s="20" t="n">
        <x:f>MAX(IF(B65&lt;Pile_Input!$B$9,D65,D65-Pile_Input!$B$10),0)</x:f>
        <x:v>0</x:v>
      </x:c>
      <x:c r="K65" s="20" t="n">
        <x:f>J65*I65</x:f>
        <x:v>0</x:v>
      </x:c>
      <x:c r="L65" s="20" t="str">
        <x:f>IF(B65="","",SUM($K$2:K65))</x:f>
      </x:c>
      <x:c r="M65" s="20" t="str">
        <x:f>IF(B65="","",L65-K65/2)</x:f>
      </x:c>
      <x:c r="N65" s="20" t="n">
        <x:f>IF(ISNUMBER(H65),0.52*H65,"")</x:f>
        <x:v>0</x:v>
      </x:c>
      <x:c r="O65" s="20" t="n">
        <x:f>IF(E65="C",AVERAGE(G65,N65),0)</x:f>
        <x:v>0</x:v>
      </x:c>
      <x:c r="P65" s="20" t="n">
        <x:f>IF(E65="C",0.93*EXP(-0.0536*O65),0)</x:f>
        <x:v>0</x:v>
      </x:c>
      <x:c r="Q65" s="20" t="n">
        <x:f>IF(E65="S",0.77*LOG10(20*95.76/MAX(M65*9.81,0.0001)),0)</x:f>
        <x:v>0</x:v>
      </x:c>
      <x:c r="R65" s="20" t="n">
        <x:f>Q65*H65</x:f>
        <x:v>0</x:v>
      </x:c>
      <x:c r="S65" s="20" t="n">
        <x:f>IF(E65="S",27.1+0.3*R65-0.00054*R65^2,0)</x:f>
        <x:v>0</x:v>
      </x:c>
      <x:c r="T65" s="20" t="n">
        <x:f>IF(E65="S",1-SIN(RADIANS(S65)),0)</x:f>
        <x:v>0</x:v>
      </x:c>
      <x:c r="U65" s="20" t="n">
        <x:f>1.5*T65</x:f>
        <x:v>0</x:v>
      </x:c>
      <x:c r="V65" s="20" t="n">
        <x:f>0.85*T65</x:f>
        <x:v>0</x:v>
      </x:c>
      <x:c r="W65" s="20" t="n">
        <x:f>IF(Pile_Input!$B$5&gt;1.5,U65,V65)</x:f>
        <x:v>0</x:v>
      </x:c>
      <x:c r="X65" s="20" t="n">
        <x:f>0.75*S65</x:f>
        <x:v>0</x:v>
      </x:c>
      <x:c r="Y65" s="20" t="n">
        <x:f>IF(E65="S",W65*TAN(RADIANS(X65)),0)</x:f>
        <x:v>0</x:v>
      </x:c>
      <x:c r="Z65" s="20" t="n">
        <x:f>P65*O65</x:f>
        <x:v>0</x:v>
      </x:c>
      <x:c r="AA65" s="20" t="n">
        <x:f>Y65*M65</x:f>
        <x:v>0</x:v>
      </x:c>
      <x:c r="AB65" s="20" t="n">
        <x:f>IF(E65="C",Z65,IF(E65="S",AA65,0))</x:f>
        <x:v>0</x:v>
      </x:c>
      <x:c r="AC65" s="20" t="n">
        <x:f>IF(B65&lt;Pile_Input!$B$8,0,MAX(AB65,0))</x:f>
        <x:v>0</x:v>
      </x:c>
      <x:c r="AD65" s="20" t="n">
        <x:f>Pile_Input!$B$7*I65</x:f>
        <x:v>0</x:v>
      </x:c>
      <x:c r="AE65" s="20" t="n">
        <x:f>AC65*AD65</x:f>
        <x:v>0</x:v>
      </x:c>
      <x:c r="AF65" s="20" t="n">
        <x:f>SUM($AE$2:AE65)</x:f>
        <x:v>2.417753626718237</x:v>
      </x:c>
      <x:c r="AG65" s="20" t="n">
        <x:f>IF(E65="S",EXP(PI()*TAN(RADIANS(S65)))*TAN(RADIANS(45+S65/2))^2*(1+TAN(RADIANS(S65))),0)</x:f>
        <x:v>0</x:v>
      </x:c>
      <x:c r="AH65" s="20" t="n">
        <x:f>IF(E65="S",0.6934*EXP(0.0974*S65),0)</x:f>
        <x:v>0</x:v>
      </x:c>
      <x:c r="AI65" s="20" t="n">
        <x:f>IF(Pile_Input!$B$5&gt;1.5,AG65,AH65)</x:f>
        <x:v>0</x:v>
      </x:c>
      <x:c r="AJ65" s="20" t="n">
        <x:f>IF(E65="S",2*(AI65+1)*TAN(RADIANS(S65)),0)</x:f>
        <x:v>0</x:v>
      </x:c>
      <x:c r="AK65" s="20" t="n">
        <x:f>MIN(9*O65,Pile_Input!$B$12)</x:f>
        <x:v>0</x:v>
      </x:c>
      <x:c r="AL65" s="20" t="n">
        <x:f>MIN((AI65-1)*L65,Pile_Input!$B$12)</x:f>
        <x:v>0</x:v>
      </x:c>
      <x:c r="AM65" s="20" t="n">
        <x:f>IF(E65="C",AK65,IF(E65="S",AL65,0))</x:f>
        <x:v>0</x:v>
      </x:c>
      <x:c r="AN65" s="20" t="e">
        <x:f>AVERAGE(INDEX($AM:$AM,MAX(2,ROW()-1)):INDEX($AM:$AM,MIN(101,ROW()+2)))</x:f>
      </x:c>
      <x:c r="AO65" s="20" t="e">
        <x:f>AN65*Pile_Input!$B$7</x:f>
      </x:c>
      <x:c r="AP65" s="20" t="e">
        <x:f>AF65+AO65</x:f>
      </x:c>
      <x:c r="AQ65" s="20" t="e">
        <x:f>AP65/Pile_Input!$B$11</x:f>
      </x:c>
      <x:c r="AR65" s="20" t="n">
        <x:f>0.25*Pile_Input!$B$4*10</x:f>
        <x:v>875</x:v>
      </x:c>
      <x:c r="AS65" s="20" t="n">
        <x:f>Pile_Input!$B$7*AR65</x:f>
        <x:v>1649.3361431346414</x:v>
      </x:c>
    </x:row>
    <x:row r="66">
      <x:c r="A66" s="20" t="n">
        <x:f>Layer_Input!A66</x:f>
        <x:v>0</x:v>
      </x:c>
      <x:c r="B66" s="20" t="n">
        <x:f>Layer_Input!B66</x:f>
        <x:v>0</x:v>
      </x:c>
      <x:c r="C66" s="20" t="n">
        <x:f>Layer_Input!C66</x:f>
        <x:v>0</x:v>
      </x:c>
      <x:c r="D66" s="20" t="n">
        <x:f>Layer_Input!D66</x:f>
        <x:v>0</x:v>
      </x:c>
      <x:c r="E66" s="20" t="n">
        <x:f>Layer_Input!E66</x:f>
        <x:v>0</x:v>
      </x:c>
      <x:c r="F66" s="20" t="n">
        <x:f>Layer_Input!F66</x:f>
        <x:v>0</x:v>
      </x:c>
      <x:c r="G66" s="20" t="n">
        <x:f>Layer_Input!G66</x:f>
        <x:v>0</x:v>
      </x:c>
      <x:c r="H66" s="20" t="n">
        <x:f>Layer_Input!H66</x:f>
        <x:v>0</x:v>
      </x:c>
      <x:c r="I66" s="20" t="n">
        <x:f>MAX(C66-B66,0)</x:f>
        <x:v>0</x:v>
      </x:c>
      <x:c r="J66" s="20" t="n">
        <x:f>MAX(IF(B66&lt;Pile_Input!$B$9,D66,D66-Pile_Input!$B$10),0)</x:f>
        <x:v>0</x:v>
      </x:c>
      <x:c r="K66" s="20" t="n">
        <x:f>J66*I66</x:f>
        <x:v>0</x:v>
      </x:c>
      <x:c r="L66" s="20" t="str">
        <x:f>IF(B66="","",SUM($K$2:K66))</x:f>
      </x:c>
      <x:c r="M66" s="20" t="str">
        <x:f>IF(B66="","",L66-K66/2)</x:f>
      </x:c>
      <x:c r="N66" s="20" t="n">
        <x:f>IF(ISNUMBER(H66),0.52*H66,"")</x:f>
        <x:v>0</x:v>
      </x:c>
      <x:c r="O66" s="20" t="n">
        <x:f>IF(E66="C",AVERAGE(G66,N66),0)</x:f>
        <x:v>0</x:v>
      </x:c>
      <x:c r="P66" s="20" t="n">
        <x:f>IF(E66="C",0.93*EXP(-0.0536*O66),0)</x:f>
        <x:v>0</x:v>
      </x:c>
      <x:c r="Q66" s="20" t="n">
        <x:f>IF(E66="S",0.77*LOG10(20*95.76/MAX(M66*9.81,0.0001)),0)</x:f>
        <x:v>0</x:v>
      </x:c>
      <x:c r="R66" s="20" t="n">
        <x:f>Q66*H66</x:f>
        <x:v>0</x:v>
      </x:c>
      <x:c r="S66" s="20" t="n">
        <x:f>IF(E66="S",27.1+0.3*R66-0.00054*R66^2,0)</x:f>
        <x:v>0</x:v>
      </x:c>
      <x:c r="T66" s="20" t="n">
        <x:f>IF(E66="S",1-SIN(RADIANS(S66)),0)</x:f>
        <x:v>0</x:v>
      </x:c>
      <x:c r="U66" s="20" t="n">
        <x:f>1.5*T66</x:f>
        <x:v>0</x:v>
      </x:c>
      <x:c r="V66" s="20" t="n">
        <x:f>0.85*T66</x:f>
        <x:v>0</x:v>
      </x:c>
      <x:c r="W66" s="20" t="n">
        <x:f>IF(Pile_Input!$B$5&gt;1.5,U66,V66)</x:f>
        <x:v>0</x:v>
      </x:c>
      <x:c r="X66" s="20" t="n">
        <x:f>0.75*S66</x:f>
        <x:v>0</x:v>
      </x:c>
      <x:c r="Y66" s="20" t="n">
        <x:f>IF(E66="S",W66*TAN(RADIANS(X66)),0)</x:f>
        <x:v>0</x:v>
      </x:c>
      <x:c r="Z66" s="20" t="n">
        <x:f>P66*O66</x:f>
        <x:v>0</x:v>
      </x:c>
      <x:c r="AA66" s="20" t="n">
        <x:f>Y66*M66</x:f>
        <x:v>0</x:v>
      </x:c>
      <x:c r="AB66" s="20" t="n">
        <x:f>IF(E66="C",Z66,IF(E66="S",AA66,0))</x:f>
        <x:v>0</x:v>
      </x:c>
      <x:c r="AC66" s="20" t="n">
        <x:f>IF(B66&lt;Pile_Input!$B$8,0,MAX(AB66,0))</x:f>
        <x:v>0</x:v>
      </x:c>
      <x:c r="AD66" s="20" t="n">
        <x:f>Pile_Input!$B$7*I66</x:f>
        <x:v>0</x:v>
      </x:c>
      <x:c r="AE66" s="20" t="n">
        <x:f>AC66*AD66</x:f>
        <x:v>0</x:v>
      </x:c>
      <x:c r="AF66" s="20" t="n">
        <x:f>SUM($AE$2:AE66)</x:f>
        <x:v>2.417753626718237</x:v>
      </x:c>
      <x:c r="AG66" s="20" t="n">
        <x:f>IF(E66="S",EXP(PI()*TAN(RADIANS(S66)))*TAN(RADIANS(45+S66/2))^2*(1+TAN(RADIANS(S66))),0)</x:f>
        <x:v>0</x:v>
      </x:c>
      <x:c r="AH66" s="20" t="n">
        <x:f>IF(E66="S",0.6934*EXP(0.0974*S66),0)</x:f>
        <x:v>0</x:v>
      </x:c>
      <x:c r="AI66" s="20" t="n">
        <x:f>IF(Pile_Input!$B$5&gt;1.5,AG66,AH66)</x:f>
        <x:v>0</x:v>
      </x:c>
      <x:c r="AJ66" s="20" t="n">
        <x:f>IF(E66="S",2*(AI66+1)*TAN(RADIANS(S66)),0)</x:f>
        <x:v>0</x:v>
      </x:c>
      <x:c r="AK66" s="20" t="n">
        <x:f>MIN(9*O66,Pile_Input!$B$12)</x:f>
        <x:v>0</x:v>
      </x:c>
      <x:c r="AL66" s="20" t="n">
        <x:f>MIN((AI66-1)*L66,Pile_Input!$B$12)</x:f>
        <x:v>0</x:v>
      </x:c>
      <x:c r="AM66" s="20" t="n">
        <x:f>IF(E66="C",AK66,IF(E66="S",AL66,0))</x:f>
        <x:v>0</x:v>
      </x:c>
      <x:c r="AN66" s="20" t="e">
        <x:f>AVERAGE(INDEX($AM:$AM,MAX(2,ROW()-1)):INDEX($AM:$AM,MIN(101,ROW()+2)))</x:f>
      </x:c>
      <x:c r="AO66" s="20" t="e">
        <x:f>AN66*Pile_Input!$B$7</x:f>
      </x:c>
      <x:c r="AP66" s="20" t="e">
        <x:f>AF66+AO66</x:f>
      </x:c>
      <x:c r="AQ66" s="20" t="e">
        <x:f>AP66/Pile_Input!$B$11</x:f>
      </x:c>
      <x:c r="AR66" s="20" t="n">
        <x:f>0.25*Pile_Input!$B$4*10</x:f>
        <x:v>875</x:v>
      </x:c>
      <x:c r="AS66" s="20" t="n">
        <x:f>Pile_Input!$B$7*AR66</x:f>
        <x:v>1649.3361431346414</x:v>
      </x:c>
    </x:row>
    <x:row r="67">
      <x:c r="A67" s="20" t="n">
        <x:f>Layer_Input!A67</x:f>
        <x:v>0</x:v>
      </x:c>
      <x:c r="B67" s="20" t="n">
        <x:f>Layer_Input!B67</x:f>
        <x:v>0</x:v>
      </x:c>
      <x:c r="C67" s="20" t="n">
        <x:f>Layer_Input!C67</x:f>
        <x:v>0</x:v>
      </x:c>
      <x:c r="D67" s="20" t="n">
        <x:f>Layer_Input!D67</x:f>
        <x:v>0</x:v>
      </x:c>
      <x:c r="E67" s="20" t="n">
        <x:f>Layer_Input!E67</x:f>
        <x:v>0</x:v>
      </x:c>
      <x:c r="F67" s="20" t="n">
        <x:f>Layer_Input!F67</x:f>
        <x:v>0</x:v>
      </x:c>
      <x:c r="G67" s="20" t="n">
        <x:f>Layer_Input!G67</x:f>
        <x:v>0</x:v>
      </x:c>
      <x:c r="H67" s="20" t="n">
        <x:f>Layer_Input!H67</x:f>
        <x:v>0</x:v>
      </x:c>
      <x:c r="I67" s="20" t="n">
        <x:f>MAX(C67-B67,0)</x:f>
        <x:v>0</x:v>
      </x:c>
      <x:c r="J67" s="20" t="n">
        <x:f>MAX(IF(B67&lt;Pile_Input!$B$9,D67,D67-Pile_Input!$B$10),0)</x:f>
        <x:v>0</x:v>
      </x:c>
      <x:c r="K67" s="20" t="n">
        <x:f>J67*I67</x:f>
        <x:v>0</x:v>
      </x:c>
      <x:c r="L67" s="20" t="str">
        <x:f>IF(B67="","",SUM($K$2:K67))</x:f>
      </x:c>
      <x:c r="M67" s="20" t="str">
        <x:f>IF(B67="","",L67-K67/2)</x:f>
      </x:c>
      <x:c r="N67" s="20" t="n">
        <x:f>IF(ISNUMBER(H67),0.52*H67,"")</x:f>
        <x:v>0</x:v>
      </x:c>
      <x:c r="O67" s="20" t="n">
        <x:f>IF(E67="C",AVERAGE(G67,N67),0)</x:f>
        <x:v>0</x:v>
      </x:c>
      <x:c r="P67" s="20" t="n">
        <x:f>IF(E67="C",0.93*EXP(-0.0536*O67),0)</x:f>
        <x:v>0</x:v>
      </x:c>
      <x:c r="Q67" s="20" t="n">
        <x:f>IF(E67="S",0.77*LOG10(20*95.76/MAX(M67*9.81,0.0001)),0)</x:f>
        <x:v>0</x:v>
      </x:c>
      <x:c r="R67" s="20" t="n">
        <x:f>Q67*H67</x:f>
        <x:v>0</x:v>
      </x:c>
      <x:c r="S67" s="20" t="n">
        <x:f>IF(E67="S",27.1+0.3*R67-0.00054*R67^2,0)</x:f>
        <x:v>0</x:v>
      </x:c>
      <x:c r="T67" s="20" t="n">
        <x:f>IF(E67="S",1-SIN(RADIANS(S67)),0)</x:f>
        <x:v>0</x:v>
      </x:c>
      <x:c r="U67" s="20" t="n">
        <x:f>1.5*T67</x:f>
        <x:v>0</x:v>
      </x:c>
      <x:c r="V67" s="20" t="n">
        <x:f>0.85*T67</x:f>
        <x:v>0</x:v>
      </x:c>
      <x:c r="W67" s="20" t="n">
        <x:f>IF(Pile_Input!$B$5&gt;1.5,U67,V67)</x:f>
        <x:v>0</x:v>
      </x:c>
      <x:c r="X67" s="20" t="n">
        <x:f>0.75*S67</x:f>
        <x:v>0</x:v>
      </x:c>
      <x:c r="Y67" s="20" t="n">
        <x:f>IF(E67="S",W67*TAN(RADIANS(X67)),0)</x:f>
        <x:v>0</x:v>
      </x:c>
      <x:c r="Z67" s="20" t="n">
        <x:f>P67*O67</x:f>
        <x:v>0</x:v>
      </x:c>
      <x:c r="AA67" s="20" t="n">
        <x:f>Y67*M67</x:f>
        <x:v>0</x:v>
      </x:c>
      <x:c r="AB67" s="20" t="n">
        <x:f>IF(E67="C",Z67,IF(E67="S",AA67,0))</x:f>
        <x:v>0</x:v>
      </x:c>
      <x:c r="AC67" s="20" t="n">
        <x:f>IF(B67&lt;Pile_Input!$B$8,0,MAX(AB67,0))</x:f>
        <x:v>0</x:v>
      </x:c>
      <x:c r="AD67" s="20" t="n">
        <x:f>Pile_Input!$B$7*I67</x:f>
        <x:v>0</x:v>
      </x:c>
      <x:c r="AE67" s="20" t="n">
        <x:f>AC67*AD67</x:f>
        <x:v>0</x:v>
      </x:c>
      <x:c r="AF67" s="20" t="n">
        <x:f>SUM($AE$2:AE67)</x:f>
        <x:v>2.417753626718237</x:v>
      </x:c>
      <x:c r="AG67" s="20" t="n">
        <x:f>IF(E67="S",EXP(PI()*TAN(RADIANS(S67)))*TAN(RADIANS(45+S67/2))^2*(1+TAN(RADIANS(S67))),0)</x:f>
        <x:v>0</x:v>
      </x:c>
      <x:c r="AH67" s="20" t="n">
        <x:f>IF(E67="S",0.6934*EXP(0.0974*S67),0)</x:f>
        <x:v>0</x:v>
      </x:c>
      <x:c r="AI67" s="20" t="n">
        <x:f>IF(Pile_Input!$B$5&gt;1.5,AG67,AH67)</x:f>
        <x:v>0</x:v>
      </x:c>
      <x:c r="AJ67" s="20" t="n">
        <x:f>IF(E67="S",2*(AI67+1)*TAN(RADIANS(S67)),0)</x:f>
        <x:v>0</x:v>
      </x:c>
      <x:c r="AK67" s="20" t="n">
        <x:f>MIN(9*O67,Pile_Input!$B$12)</x:f>
        <x:v>0</x:v>
      </x:c>
      <x:c r="AL67" s="20" t="n">
        <x:f>MIN((AI67-1)*L67,Pile_Input!$B$12)</x:f>
        <x:v>0</x:v>
      </x:c>
      <x:c r="AM67" s="20" t="n">
        <x:f>IF(E67="C",AK67,IF(E67="S",AL67,0))</x:f>
        <x:v>0</x:v>
      </x:c>
      <x:c r="AN67" s="20" t="e">
        <x:f>AVERAGE(INDEX($AM:$AM,MAX(2,ROW()-1)):INDEX($AM:$AM,MIN(101,ROW()+2)))</x:f>
      </x:c>
      <x:c r="AO67" s="20" t="e">
        <x:f>AN67*Pile_Input!$B$7</x:f>
      </x:c>
      <x:c r="AP67" s="20" t="e">
        <x:f>AF67+AO67</x:f>
      </x:c>
      <x:c r="AQ67" s="20" t="e">
        <x:f>AP67/Pile_Input!$B$11</x:f>
      </x:c>
      <x:c r="AR67" s="20" t="n">
        <x:f>0.25*Pile_Input!$B$4*10</x:f>
        <x:v>875</x:v>
      </x:c>
      <x:c r="AS67" s="20" t="n">
        <x:f>Pile_Input!$B$7*AR67</x:f>
        <x:v>1649.3361431346414</x:v>
      </x:c>
    </x:row>
    <x:row r="68">
      <x:c r="A68" s="20" t="n">
        <x:f>Layer_Input!A68</x:f>
        <x:v>0</x:v>
      </x:c>
      <x:c r="B68" s="20" t="n">
        <x:f>Layer_Input!B68</x:f>
        <x:v>0</x:v>
      </x:c>
      <x:c r="C68" s="20" t="n">
        <x:f>Layer_Input!C68</x:f>
        <x:v>0</x:v>
      </x:c>
      <x:c r="D68" s="20" t="n">
        <x:f>Layer_Input!D68</x:f>
        <x:v>0</x:v>
      </x:c>
      <x:c r="E68" s="20" t="n">
        <x:f>Layer_Input!E68</x:f>
        <x:v>0</x:v>
      </x:c>
      <x:c r="F68" s="20" t="n">
        <x:f>Layer_Input!F68</x:f>
        <x:v>0</x:v>
      </x:c>
      <x:c r="G68" s="20" t="n">
        <x:f>Layer_Input!G68</x:f>
        <x:v>0</x:v>
      </x:c>
      <x:c r="H68" s="20" t="n">
        <x:f>Layer_Input!H68</x:f>
        <x:v>0</x:v>
      </x:c>
      <x:c r="I68" s="20" t="n">
        <x:f>MAX(C68-B68,0)</x:f>
        <x:v>0</x:v>
      </x:c>
      <x:c r="J68" s="20" t="n">
        <x:f>MAX(IF(B68&lt;Pile_Input!$B$9,D68,D68-Pile_Input!$B$10),0)</x:f>
        <x:v>0</x:v>
      </x:c>
      <x:c r="K68" s="20" t="n">
        <x:f>J68*I68</x:f>
        <x:v>0</x:v>
      </x:c>
      <x:c r="L68" s="20" t="str">
        <x:f>IF(B68="","",SUM($K$2:K68))</x:f>
      </x:c>
      <x:c r="M68" s="20" t="str">
        <x:f>IF(B68="","",L68-K68/2)</x:f>
      </x:c>
      <x:c r="N68" s="20" t="n">
        <x:f>IF(ISNUMBER(H68),0.52*H68,"")</x:f>
        <x:v>0</x:v>
      </x:c>
      <x:c r="O68" s="20" t="n">
        <x:f>IF(E68="C",AVERAGE(G68,N68),0)</x:f>
        <x:v>0</x:v>
      </x:c>
      <x:c r="P68" s="20" t="n">
        <x:f>IF(E68="C",0.93*EXP(-0.0536*O68),0)</x:f>
        <x:v>0</x:v>
      </x:c>
      <x:c r="Q68" s="20" t="n">
        <x:f>IF(E68="S",0.77*LOG10(20*95.76/MAX(M68*9.81,0.0001)),0)</x:f>
        <x:v>0</x:v>
      </x:c>
      <x:c r="R68" s="20" t="n">
        <x:f>Q68*H68</x:f>
        <x:v>0</x:v>
      </x:c>
      <x:c r="S68" s="20" t="n">
        <x:f>IF(E68="S",27.1+0.3*R68-0.00054*R68^2,0)</x:f>
        <x:v>0</x:v>
      </x:c>
      <x:c r="T68" s="20" t="n">
        <x:f>IF(E68="S",1-SIN(RADIANS(S68)),0)</x:f>
        <x:v>0</x:v>
      </x:c>
      <x:c r="U68" s="20" t="n">
        <x:f>1.5*T68</x:f>
        <x:v>0</x:v>
      </x:c>
      <x:c r="V68" s="20" t="n">
        <x:f>0.85*T68</x:f>
        <x:v>0</x:v>
      </x:c>
      <x:c r="W68" s="20" t="n">
        <x:f>IF(Pile_Input!$B$5&gt;1.5,U68,V68)</x:f>
        <x:v>0</x:v>
      </x:c>
      <x:c r="X68" s="20" t="n">
        <x:f>0.75*S68</x:f>
        <x:v>0</x:v>
      </x:c>
      <x:c r="Y68" s="20" t="n">
        <x:f>IF(E68="S",W68*TAN(RADIANS(X68)),0)</x:f>
        <x:v>0</x:v>
      </x:c>
      <x:c r="Z68" s="20" t="n">
        <x:f>P68*O68</x:f>
        <x:v>0</x:v>
      </x:c>
      <x:c r="AA68" s="20" t="n">
        <x:f>Y68*M68</x:f>
        <x:v>0</x:v>
      </x:c>
      <x:c r="AB68" s="20" t="n">
        <x:f>IF(E68="C",Z68,IF(E68="S",AA68,0))</x:f>
        <x:v>0</x:v>
      </x:c>
      <x:c r="AC68" s="20" t="n">
        <x:f>IF(B68&lt;Pile_Input!$B$8,0,MAX(AB68,0))</x:f>
        <x:v>0</x:v>
      </x:c>
      <x:c r="AD68" s="20" t="n">
        <x:f>Pile_Input!$B$7*I68</x:f>
        <x:v>0</x:v>
      </x:c>
      <x:c r="AE68" s="20" t="n">
        <x:f>AC68*AD68</x:f>
        <x:v>0</x:v>
      </x:c>
      <x:c r="AF68" s="20" t="n">
        <x:f>SUM($AE$2:AE68)</x:f>
        <x:v>2.417753626718237</x:v>
      </x:c>
      <x:c r="AG68" s="20" t="n">
        <x:f>IF(E68="S",EXP(PI()*TAN(RADIANS(S68)))*TAN(RADIANS(45+S68/2))^2*(1+TAN(RADIANS(S68))),0)</x:f>
        <x:v>0</x:v>
      </x:c>
      <x:c r="AH68" s="20" t="n">
        <x:f>IF(E68="S",0.6934*EXP(0.0974*S68),0)</x:f>
        <x:v>0</x:v>
      </x:c>
      <x:c r="AI68" s="20" t="n">
        <x:f>IF(Pile_Input!$B$5&gt;1.5,AG68,AH68)</x:f>
        <x:v>0</x:v>
      </x:c>
      <x:c r="AJ68" s="20" t="n">
        <x:f>IF(E68="S",2*(AI68+1)*TAN(RADIANS(S68)),0)</x:f>
        <x:v>0</x:v>
      </x:c>
      <x:c r="AK68" s="20" t="n">
        <x:f>MIN(9*O68,Pile_Input!$B$12)</x:f>
        <x:v>0</x:v>
      </x:c>
      <x:c r="AL68" s="20" t="n">
        <x:f>MIN((AI68-1)*L68,Pile_Input!$B$12)</x:f>
        <x:v>0</x:v>
      </x:c>
      <x:c r="AM68" s="20" t="n">
        <x:f>IF(E68="C",AK68,IF(E68="S",AL68,0))</x:f>
        <x:v>0</x:v>
      </x:c>
      <x:c r="AN68" s="20" t="e">
        <x:f>AVERAGE(INDEX($AM:$AM,MAX(2,ROW()-1)):INDEX($AM:$AM,MIN(101,ROW()+2)))</x:f>
      </x:c>
      <x:c r="AO68" s="20" t="e">
        <x:f>AN68*Pile_Input!$B$7</x:f>
      </x:c>
      <x:c r="AP68" s="20" t="e">
        <x:f>AF68+AO68</x:f>
      </x:c>
      <x:c r="AQ68" s="20" t="e">
        <x:f>AP68/Pile_Input!$B$11</x:f>
      </x:c>
      <x:c r="AR68" s="20" t="n">
        <x:f>0.25*Pile_Input!$B$4*10</x:f>
        <x:v>875</x:v>
      </x:c>
      <x:c r="AS68" s="20" t="n">
        <x:f>Pile_Input!$B$7*AR68</x:f>
        <x:v>1649.3361431346414</x:v>
      </x:c>
    </x:row>
    <x:row r="69">
      <x:c r="A69" s="20" t="n">
        <x:f>Layer_Input!A69</x:f>
        <x:v>0</x:v>
      </x:c>
      <x:c r="B69" s="20" t="n">
        <x:f>Layer_Input!B69</x:f>
        <x:v>0</x:v>
      </x:c>
      <x:c r="C69" s="20" t="n">
        <x:f>Layer_Input!C69</x:f>
        <x:v>0</x:v>
      </x:c>
      <x:c r="D69" s="20" t="n">
        <x:f>Layer_Input!D69</x:f>
        <x:v>0</x:v>
      </x:c>
      <x:c r="E69" s="20" t="n">
        <x:f>Layer_Input!E69</x:f>
        <x:v>0</x:v>
      </x:c>
      <x:c r="F69" s="20" t="n">
        <x:f>Layer_Input!F69</x:f>
        <x:v>0</x:v>
      </x:c>
      <x:c r="G69" s="20" t="n">
        <x:f>Layer_Input!G69</x:f>
        <x:v>0</x:v>
      </x:c>
      <x:c r="H69" s="20" t="n">
        <x:f>Layer_Input!H69</x:f>
        <x:v>0</x:v>
      </x:c>
      <x:c r="I69" s="20" t="n">
        <x:f>MAX(C69-B69,0)</x:f>
        <x:v>0</x:v>
      </x:c>
      <x:c r="J69" s="20" t="n">
        <x:f>MAX(IF(B69&lt;Pile_Input!$B$9,D69,D69-Pile_Input!$B$10),0)</x:f>
        <x:v>0</x:v>
      </x:c>
      <x:c r="K69" s="20" t="n">
        <x:f>J69*I69</x:f>
        <x:v>0</x:v>
      </x:c>
      <x:c r="L69" s="20" t="str">
        <x:f>IF(B69="","",SUM($K$2:K69))</x:f>
      </x:c>
      <x:c r="M69" s="20" t="str">
        <x:f>IF(B69="","",L69-K69/2)</x:f>
      </x:c>
      <x:c r="N69" s="20" t="n">
        <x:f>IF(ISNUMBER(H69),0.52*H69,"")</x:f>
        <x:v>0</x:v>
      </x:c>
      <x:c r="O69" s="20" t="n">
        <x:f>IF(E69="C",AVERAGE(G69,N69),0)</x:f>
        <x:v>0</x:v>
      </x:c>
      <x:c r="P69" s="20" t="n">
        <x:f>IF(E69="C",0.93*EXP(-0.0536*O69),0)</x:f>
        <x:v>0</x:v>
      </x:c>
      <x:c r="Q69" s="20" t="n">
        <x:f>IF(E69="S",0.77*LOG10(20*95.76/MAX(M69*9.81,0.0001)),0)</x:f>
        <x:v>0</x:v>
      </x:c>
      <x:c r="R69" s="20" t="n">
        <x:f>Q69*H69</x:f>
        <x:v>0</x:v>
      </x:c>
      <x:c r="S69" s="20" t="n">
        <x:f>IF(E69="S",27.1+0.3*R69-0.00054*R69^2,0)</x:f>
        <x:v>0</x:v>
      </x:c>
      <x:c r="T69" s="20" t="n">
        <x:f>IF(E69="S",1-SIN(RADIANS(S69)),0)</x:f>
        <x:v>0</x:v>
      </x:c>
      <x:c r="U69" s="20" t="n">
        <x:f>1.5*T69</x:f>
        <x:v>0</x:v>
      </x:c>
      <x:c r="V69" s="20" t="n">
        <x:f>0.85*T69</x:f>
        <x:v>0</x:v>
      </x:c>
      <x:c r="W69" s="20" t="n">
        <x:f>IF(Pile_Input!$B$5&gt;1.5,U69,V69)</x:f>
        <x:v>0</x:v>
      </x:c>
      <x:c r="X69" s="20" t="n">
        <x:f>0.75*S69</x:f>
        <x:v>0</x:v>
      </x:c>
      <x:c r="Y69" s="20" t="n">
        <x:f>IF(E69="S",W69*TAN(RADIANS(X69)),0)</x:f>
        <x:v>0</x:v>
      </x:c>
      <x:c r="Z69" s="20" t="n">
        <x:f>P69*O69</x:f>
        <x:v>0</x:v>
      </x:c>
      <x:c r="AA69" s="20" t="n">
        <x:f>Y69*M69</x:f>
        <x:v>0</x:v>
      </x:c>
      <x:c r="AB69" s="20" t="n">
        <x:f>IF(E69="C",Z69,IF(E69="S",AA69,0))</x:f>
        <x:v>0</x:v>
      </x:c>
      <x:c r="AC69" s="20" t="n">
        <x:f>IF(B69&lt;Pile_Input!$B$8,0,MAX(AB69,0))</x:f>
        <x:v>0</x:v>
      </x:c>
      <x:c r="AD69" s="20" t="n">
        <x:f>Pile_Input!$B$7*I69</x:f>
        <x:v>0</x:v>
      </x:c>
      <x:c r="AE69" s="20" t="n">
        <x:f>AC69*AD69</x:f>
        <x:v>0</x:v>
      </x:c>
      <x:c r="AF69" s="20" t="n">
        <x:f>SUM($AE$2:AE69)</x:f>
        <x:v>2.417753626718237</x:v>
      </x:c>
      <x:c r="AG69" s="20" t="n">
        <x:f>IF(E69="S",EXP(PI()*TAN(RADIANS(S69)))*TAN(RADIANS(45+S69/2))^2*(1+TAN(RADIANS(S69))),0)</x:f>
        <x:v>0</x:v>
      </x:c>
      <x:c r="AH69" s="20" t="n">
        <x:f>IF(E69="S",0.6934*EXP(0.0974*S69),0)</x:f>
        <x:v>0</x:v>
      </x:c>
      <x:c r="AI69" s="20" t="n">
        <x:f>IF(Pile_Input!$B$5&gt;1.5,AG69,AH69)</x:f>
        <x:v>0</x:v>
      </x:c>
      <x:c r="AJ69" s="20" t="n">
        <x:f>IF(E69="S",2*(AI69+1)*TAN(RADIANS(S69)),0)</x:f>
        <x:v>0</x:v>
      </x:c>
      <x:c r="AK69" s="20" t="n">
        <x:f>MIN(9*O69,Pile_Input!$B$12)</x:f>
        <x:v>0</x:v>
      </x:c>
      <x:c r="AL69" s="20" t="n">
        <x:f>MIN((AI69-1)*L69,Pile_Input!$B$12)</x:f>
        <x:v>0</x:v>
      </x:c>
      <x:c r="AM69" s="20" t="n">
        <x:f>IF(E69="C",AK69,IF(E69="S",AL69,0))</x:f>
        <x:v>0</x:v>
      </x:c>
      <x:c r="AN69" s="20" t="e">
        <x:f>AVERAGE(INDEX($AM:$AM,MAX(2,ROW()-1)):INDEX($AM:$AM,MIN(101,ROW()+2)))</x:f>
      </x:c>
      <x:c r="AO69" s="20" t="e">
        <x:f>AN69*Pile_Input!$B$7</x:f>
      </x:c>
      <x:c r="AP69" s="20" t="e">
        <x:f>AF69+AO69</x:f>
      </x:c>
      <x:c r="AQ69" s="20" t="e">
        <x:f>AP69/Pile_Input!$B$11</x:f>
      </x:c>
      <x:c r="AR69" s="20" t="n">
        <x:f>0.25*Pile_Input!$B$4*10</x:f>
        <x:v>875</x:v>
      </x:c>
      <x:c r="AS69" s="20" t="n">
        <x:f>Pile_Input!$B$7*AR69</x:f>
        <x:v>1649.3361431346414</x:v>
      </x:c>
    </x:row>
    <x:row r="70">
      <x:c r="A70" s="20" t="n">
        <x:f>Layer_Input!A70</x:f>
        <x:v>0</x:v>
      </x:c>
      <x:c r="B70" s="20" t="n">
        <x:f>Layer_Input!B70</x:f>
        <x:v>0</x:v>
      </x:c>
      <x:c r="C70" s="20" t="n">
        <x:f>Layer_Input!C70</x:f>
        <x:v>0</x:v>
      </x:c>
      <x:c r="D70" s="20" t="n">
        <x:f>Layer_Input!D70</x:f>
        <x:v>0</x:v>
      </x:c>
      <x:c r="E70" s="20" t="n">
        <x:f>Layer_Input!E70</x:f>
        <x:v>0</x:v>
      </x:c>
      <x:c r="F70" s="20" t="n">
        <x:f>Layer_Input!F70</x:f>
        <x:v>0</x:v>
      </x:c>
      <x:c r="G70" s="20" t="n">
        <x:f>Layer_Input!G70</x:f>
        <x:v>0</x:v>
      </x:c>
      <x:c r="H70" s="20" t="n">
        <x:f>Layer_Input!H70</x:f>
        <x:v>0</x:v>
      </x:c>
      <x:c r="I70" s="20" t="n">
        <x:f>MAX(C70-B70,0)</x:f>
        <x:v>0</x:v>
      </x:c>
      <x:c r="J70" s="20" t="n">
        <x:f>MAX(IF(B70&lt;Pile_Input!$B$9,D70,D70-Pile_Input!$B$10),0)</x:f>
        <x:v>0</x:v>
      </x:c>
      <x:c r="K70" s="20" t="n">
        <x:f>J70*I70</x:f>
        <x:v>0</x:v>
      </x:c>
      <x:c r="L70" s="20" t="str">
        <x:f>IF(B70="","",SUM($K$2:K70))</x:f>
      </x:c>
      <x:c r="M70" s="20" t="str">
        <x:f>IF(B70="","",L70-K70/2)</x:f>
      </x:c>
      <x:c r="N70" s="20" t="n">
        <x:f>IF(ISNUMBER(H70),0.52*H70,"")</x:f>
        <x:v>0</x:v>
      </x:c>
      <x:c r="O70" s="20" t="n">
        <x:f>IF(E70="C",AVERAGE(G70,N70),0)</x:f>
        <x:v>0</x:v>
      </x:c>
      <x:c r="P70" s="20" t="n">
        <x:f>IF(E70="C",0.93*EXP(-0.0536*O70),0)</x:f>
        <x:v>0</x:v>
      </x:c>
      <x:c r="Q70" s="20" t="n">
        <x:f>IF(E70="S",0.77*LOG10(20*95.76/MAX(M70*9.81,0.0001)),0)</x:f>
        <x:v>0</x:v>
      </x:c>
      <x:c r="R70" s="20" t="n">
        <x:f>Q70*H70</x:f>
        <x:v>0</x:v>
      </x:c>
      <x:c r="S70" s="20" t="n">
        <x:f>IF(E70="S",27.1+0.3*R70-0.00054*R70^2,0)</x:f>
        <x:v>0</x:v>
      </x:c>
      <x:c r="T70" s="20" t="n">
        <x:f>IF(E70="S",1-SIN(RADIANS(S70)),0)</x:f>
        <x:v>0</x:v>
      </x:c>
      <x:c r="U70" s="20" t="n">
        <x:f>1.5*T70</x:f>
        <x:v>0</x:v>
      </x:c>
      <x:c r="V70" s="20" t="n">
        <x:f>0.85*T70</x:f>
        <x:v>0</x:v>
      </x:c>
      <x:c r="W70" s="20" t="n">
        <x:f>IF(Pile_Input!$B$5&gt;1.5,U70,V70)</x:f>
        <x:v>0</x:v>
      </x:c>
      <x:c r="X70" s="20" t="n">
        <x:f>0.75*S70</x:f>
        <x:v>0</x:v>
      </x:c>
      <x:c r="Y70" s="20" t="n">
        <x:f>IF(E70="S",W70*TAN(RADIANS(X70)),0)</x:f>
        <x:v>0</x:v>
      </x:c>
      <x:c r="Z70" s="20" t="n">
        <x:f>P70*O70</x:f>
        <x:v>0</x:v>
      </x:c>
      <x:c r="AA70" s="20" t="n">
        <x:f>Y70*M70</x:f>
        <x:v>0</x:v>
      </x:c>
      <x:c r="AB70" s="20" t="n">
        <x:f>IF(E70="C",Z70,IF(E70="S",AA70,0))</x:f>
        <x:v>0</x:v>
      </x:c>
      <x:c r="AC70" s="20" t="n">
        <x:f>IF(B70&lt;Pile_Input!$B$8,0,MAX(AB70,0))</x:f>
        <x:v>0</x:v>
      </x:c>
      <x:c r="AD70" s="20" t="n">
        <x:f>Pile_Input!$B$7*I70</x:f>
        <x:v>0</x:v>
      </x:c>
      <x:c r="AE70" s="20" t="n">
        <x:f>AC70*AD70</x:f>
        <x:v>0</x:v>
      </x:c>
      <x:c r="AF70" s="20" t="n">
        <x:f>SUM($AE$2:AE70)</x:f>
        <x:v>2.417753626718237</x:v>
      </x:c>
      <x:c r="AG70" s="20" t="n">
        <x:f>IF(E70="S",EXP(PI()*TAN(RADIANS(S70)))*TAN(RADIANS(45+S70/2))^2*(1+TAN(RADIANS(S70))),0)</x:f>
        <x:v>0</x:v>
      </x:c>
      <x:c r="AH70" s="20" t="n">
        <x:f>IF(E70="S",0.6934*EXP(0.0974*S70),0)</x:f>
        <x:v>0</x:v>
      </x:c>
      <x:c r="AI70" s="20" t="n">
        <x:f>IF(Pile_Input!$B$5&gt;1.5,AG70,AH70)</x:f>
        <x:v>0</x:v>
      </x:c>
      <x:c r="AJ70" s="20" t="n">
        <x:f>IF(E70="S",2*(AI70+1)*TAN(RADIANS(S70)),0)</x:f>
        <x:v>0</x:v>
      </x:c>
      <x:c r="AK70" s="20" t="n">
        <x:f>MIN(9*O70,Pile_Input!$B$12)</x:f>
        <x:v>0</x:v>
      </x:c>
      <x:c r="AL70" s="20" t="n">
        <x:f>MIN((AI70-1)*L70,Pile_Input!$B$12)</x:f>
        <x:v>0</x:v>
      </x:c>
      <x:c r="AM70" s="20" t="n">
        <x:f>IF(E70="C",AK70,IF(E70="S",AL70,0))</x:f>
        <x:v>0</x:v>
      </x:c>
      <x:c r="AN70" s="20" t="e">
        <x:f>AVERAGE(INDEX($AM:$AM,MAX(2,ROW()-1)):INDEX($AM:$AM,MIN(101,ROW()+2)))</x:f>
      </x:c>
      <x:c r="AO70" s="20" t="e">
        <x:f>AN70*Pile_Input!$B$7</x:f>
      </x:c>
      <x:c r="AP70" s="20" t="e">
        <x:f>AF70+AO70</x:f>
      </x:c>
      <x:c r="AQ70" s="20" t="e">
        <x:f>AP70/Pile_Input!$B$11</x:f>
      </x:c>
      <x:c r="AR70" s="20" t="n">
        <x:f>0.25*Pile_Input!$B$4*10</x:f>
        <x:v>875</x:v>
      </x:c>
      <x:c r="AS70" s="20" t="n">
        <x:f>Pile_Input!$B$7*AR70</x:f>
        <x:v>1649.3361431346414</x:v>
      </x:c>
    </x:row>
    <x:row r="71">
      <x:c r="A71" s="20" t="n">
        <x:f>Layer_Input!A71</x:f>
        <x:v>0</x:v>
      </x:c>
      <x:c r="B71" s="20" t="n">
        <x:f>Layer_Input!B71</x:f>
        <x:v>0</x:v>
      </x:c>
      <x:c r="C71" s="20" t="n">
        <x:f>Layer_Input!C71</x:f>
        <x:v>0</x:v>
      </x:c>
      <x:c r="D71" s="20" t="n">
        <x:f>Layer_Input!D71</x:f>
        <x:v>0</x:v>
      </x:c>
      <x:c r="E71" s="20" t="n">
        <x:f>Layer_Input!E71</x:f>
        <x:v>0</x:v>
      </x:c>
      <x:c r="F71" s="20" t="n">
        <x:f>Layer_Input!F71</x:f>
        <x:v>0</x:v>
      </x:c>
      <x:c r="G71" s="20" t="n">
        <x:f>Layer_Input!G71</x:f>
        <x:v>0</x:v>
      </x:c>
      <x:c r="H71" s="20" t="n">
        <x:f>Layer_Input!H71</x:f>
        <x:v>0</x:v>
      </x:c>
      <x:c r="I71" s="20" t="n">
        <x:f>MAX(C71-B71,0)</x:f>
        <x:v>0</x:v>
      </x:c>
      <x:c r="J71" s="20" t="n">
        <x:f>MAX(IF(B71&lt;Pile_Input!$B$9,D71,D71-Pile_Input!$B$10),0)</x:f>
        <x:v>0</x:v>
      </x:c>
      <x:c r="K71" s="20" t="n">
        <x:f>J71*I71</x:f>
        <x:v>0</x:v>
      </x:c>
      <x:c r="L71" s="20" t="str">
        <x:f>IF(B71="","",SUM($K$2:K71))</x:f>
      </x:c>
      <x:c r="M71" s="20" t="str">
        <x:f>IF(B71="","",L71-K71/2)</x:f>
      </x:c>
      <x:c r="N71" s="20" t="n">
        <x:f>IF(ISNUMBER(H71),0.52*H71,"")</x:f>
        <x:v>0</x:v>
      </x:c>
      <x:c r="O71" s="20" t="n">
        <x:f>IF(E71="C",AVERAGE(G71,N71),0)</x:f>
        <x:v>0</x:v>
      </x:c>
      <x:c r="P71" s="20" t="n">
        <x:f>IF(E71="C",0.93*EXP(-0.0536*O71),0)</x:f>
        <x:v>0</x:v>
      </x:c>
      <x:c r="Q71" s="20" t="n">
        <x:f>IF(E71="S",0.77*LOG10(20*95.76/MAX(M71*9.81,0.0001)),0)</x:f>
        <x:v>0</x:v>
      </x:c>
      <x:c r="R71" s="20" t="n">
        <x:f>Q71*H71</x:f>
        <x:v>0</x:v>
      </x:c>
      <x:c r="S71" s="20" t="n">
        <x:f>IF(E71="S",27.1+0.3*R71-0.00054*R71^2,0)</x:f>
        <x:v>0</x:v>
      </x:c>
      <x:c r="T71" s="20" t="n">
        <x:f>IF(E71="S",1-SIN(RADIANS(S71)),0)</x:f>
        <x:v>0</x:v>
      </x:c>
      <x:c r="U71" s="20" t="n">
        <x:f>1.5*T71</x:f>
        <x:v>0</x:v>
      </x:c>
      <x:c r="V71" s="20" t="n">
        <x:f>0.85*T71</x:f>
        <x:v>0</x:v>
      </x:c>
      <x:c r="W71" s="20" t="n">
        <x:f>IF(Pile_Input!$B$5&gt;1.5,U71,V71)</x:f>
        <x:v>0</x:v>
      </x:c>
      <x:c r="X71" s="20" t="n">
        <x:f>0.75*S71</x:f>
        <x:v>0</x:v>
      </x:c>
      <x:c r="Y71" s="20" t="n">
        <x:f>IF(E71="S",W71*TAN(RADIANS(X71)),0)</x:f>
        <x:v>0</x:v>
      </x:c>
      <x:c r="Z71" s="20" t="n">
        <x:f>P71*O71</x:f>
        <x:v>0</x:v>
      </x:c>
      <x:c r="AA71" s="20" t="n">
        <x:f>Y71*M71</x:f>
        <x:v>0</x:v>
      </x:c>
      <x:c r="AB71" s="20" t="n">
        <x:f>IF(E71="C",Z71,IF(E71="S",AA71,0))</x:f>
        <x:v>0</x:v>
      </x:c>
      <x:c r="AC71" s="20" t="n">
        <x:f>IF(B71&lt;Pile_Input!$B$8,0,MAX(AB71,0))</x:f>
        <x:v>0</x:v>
      </x:c>
      <x:c r="AD71" s="20" t="n">
        <x:f>Pile_Input!$B$7*I71</x:f>
        <x:v>0</x:v>
      </x:c>
      <x:c r="AE71" s="20" t="n">
        <x:f>AC71*AD71</x:f>
        <x:v>0</x:v>
      </x:c>
      <x:c r="AF71" s="20" t="n">
        <x:f>SUM($AE$2:AE71)</x:f>
        <x:v>2.417753626718237</x:v>
      </x:c>
      <x:c r="AG71" s="20" t="n">
        <x:f>IF(E71="S",EXP(PI()*TAN(RADIANS(S71)))*TAN(RADIANS(45+S71/2))^2*(1+TAN(RADIANS(S71))),0)</x:f>
        <x:v>0</x:v>
      </x:c>
      <x:c r="AH71" s="20" t="n">
        <x:f>IF(E71="S",0.6934*EXP(0.0974*S71),0)</x:f>
        <x:v>0</x:v>
      </x:c>
      <x:c r="AI71" s="20" t="n">
        <x:f>IF(Pile_Input!$B$5&gt;1.5,AG71,AH71)</x:f>
        <x:v>0</x:v>
      </x:c>
      <x:c r="AJ71" s="20" t="n">
        <x:f>IF(E71="S",2*(AI71+1)*TAN(RADIANS(S71)),0)</x:f>
        <x:v>0</x:v>
      </x:c>
      <x:c r="AK71" s="20" t="n">
        <x:f>MIN(9*O71,Pile_Input!$B$12)</x:f>
        <x:v>0</x:v>
      </x:c>
      <x:c r="AL71" s="20" t="n">
        <x:f>MIN((AI71-1)*L71,Pile_Input!$B$12)</x:f>
        <x:v>0</x:v>
      </x:c>
      <x:c r="AM71" s="20" t="n">
        <x:f>IF(E71="C",AK71,IF(E71="S",AL71,0))</x:f>
        <x:v>0</x:v>
      </x:c>
      <x:c r="AN71" s="20" t="e">
        <x:f>AVERAGE(INDEX($AM:$AM,MAX(2,ROW()-1)):INDEX($AM:$AM,MIN(101,ROW()+2)))</x:f>
      </x:c>
      <x:c r="AO71" s="20" t="e">
        <x:f>AN71*Pile_Input!$B$7</x:f>
      </x:c>
      <x:c r="AP71" s="20" t="e">
        <x:f>AF71+AO71</x:f>
      </x:c>
      <x:c r="AQ71" s="20" t="e">
        <x:f>AP71/Pile_Input!$B$11</x:f>
      </x:c>
      <x:c r="AR71" s="20" t="n">
        <x:f>0.25*Pile_Input!$B$4*10</x:f>
        <x:v>875</x:v>
      </x:c>
      <x:c r="AS71" s="20" t="n">
        <x:f>Pile_Input!$B$7*AR71</x:f>
        <x:v>1649.3361431346414</x:v>
      </x:c>
    </x:row>
    <x:row r="72">
      <x:c r="A72" s="20" t="n">
        <x:f>Layer_Input!A72</x:f>
        <x:v>0</x:v>
      </x:c>
      <x:c r="B72" s="20" t="n">
        <x:f>Layer_Input!B72</x:f>
        <x:v>0</x:v>
      </x:c>
      <x:c r="C72" s="20" t="n">
        <x:f>Layer_Input!C72</x:f>
        <x:v>0</x:v>
      </x:c>
      <x:c r="D72" s="20" t="n">
        <x:f>Layer_Input!D72</x:f>
        <x:v>0</x:v>
      </x:c>
      <x:c r="E72" s="20" t="n">
        <x:f>Layer_Input!E72</x:f>
        <x:v>0</x:v>
      </x:c>
      <x:c r="F72" s="20" t="n">
        <x:f>Layer_Input!F72</x:f>
        <x:v>0</x:v>
      </x:c>
      <x:c r="G72" s="20" t="n">
        <x:f>Layer_Input!G72</x:f>
        <x:v>0</x:v>
      </x:c>
      <x:c r="H72" s="20" t="n">
        <x:f>Layer_Input!H72</x:f>
        <x:v>0</x:v>
      </x:c>
      <x:c r="I72" s="20" t="n">
        <x:f>MAX(C72-B72,0)</x:f>
        <x:v>0</x:v>
      </x:c>
      <x:c r="J72" s="20" t="n">
        <x:f>MAX(IF(B72&lt;Pile_Input!$B$9,D72,D72-Pile_Input!$B$10),0)</x:f>
        <x:v>0</x:v>
      </x:c>
      <x:c r="K72" s="20" t="n">
        <x:f>J72*I72</x:f>
        <x:v>0</x:v>
      </x:c>
      <x:c r="L72" s="20" t="str">
        <x:f>IF(B72="","",SUM($K$2:K72))</x:f>
      </x:c>
      <x:c r="M72" s="20" t="str">
        <x:f>IF(B72="","",L72-K72/2)</x:f>
      </x:c>
      <x:c r="N72" s="20" t="n">
        <x:f>IF(ISNUMBER(H72),0.52*H72,"")</x:f>
        <x:v>0</x:v>
      </x:c>
      <x:c r="O72" s="20" t="n">
        <x:f>IF(E72="C",AVERAGE(G72,N72),0)</x:f>
        <x:v>0</x:v>
      </x:c>
      <x:c r="P72" s="20" t="n">
        <x:f>IF(E72="C",0.93*EXP(-0.0536*O72),0)</x:f>
        <x:v>0</x:v>
      </x:c>
      <x:c r="Q72" s="20" t="n">
        <x:f>IF(E72="S",0.77*LOG10(20*95.76/MAX(M72*9.81,0.0001)),0)</x:f>
        <x:v>0</x:v>
      </x:c>
      <x:c r="R72" s="20" t="n">
        <x:f>Q72*H72</x:f>
        <x:v>0</x:v>
      </x:c>
      <x:c r="S72" s="20" t="n">
        <x:f>IF(E72="S",27.1+0.3*R72-0.00054*R72^2,0)</x:f>
        <x:v>0</x:v>
      </x:c>
      <x:c r="T72" s="20" t="n">
        <x:f>IF(E72="S",1-SIN(RADIANS(S72)),0)</x:f>
        <x:v>0</x:v>
      </x:c>
      <x:c r="U72" s="20" t="n">
        <x:f>1.5*T72</x:f>
        <x:v>0</x:v>
      </x:c>
      <x:c r="V72" s="20" t="n">
        <x:f>0.85*T72</x:f>
        <x:v>0</x:v>
      </x:c>
      <x:c r="W72" s="20" t="n">
        <x:f>IF(Pile_Input!$B$5&gt;1.5,U72,V72)</x:f>
        <x:v>0</x:v>
      </x:c>
      <x:c r="X72" s="20" t="n">
        <x:f>0.75*S72</x:f>
        <x:v>0</x:v>
      </x:c>
      <x:c r="Y72" s="20" t="n">
        <x:f>IF(E72="S",W72*TAN(RADIANS(X72)),0)</x:f>
        <x:v>0</x:v>
      </x:c>
      <x:c r="Z72" s="20" t="n">
        <x:f>P72*O72</x:f>
        <x:v>0</x:v>
      </x:c>
      <x:c r="AA72" s="20" t="n">
        <x:f>Y72*M72</x:f>
        <x:v>0</x:v>
      </x:c>
      <x:c r="AB72" s="20" t="n">
        <x:f>IF(E72="C",Z72,IF(E72="S",AA72,0))</x:f>
        <x:v>0</x:v>
      </x:c>
      <x:c r="AC72" s="20" t="n">
        <x:f>IF(B72&lt;Pile_Input!$B$8,0,MAX(AB72,0))</x:f>
        <x:v>0</x:v>
      </x:c>
      <x:c r="AD72" s="20" t="n">
        <x:f>Pile_Input!$B$7*I72</x:f>
        <x:v>0</x:v>
      </x:c>
      <x:c r="AE72" s="20" t="n">
        <x:f>AC72*AD72</x:f>
        <x:v>0</x:v>
      </x:c>
      <x:c r="AF72" s="20" t="n">
        <x:f>SUM($AE$2:AE72)</x:f>
        <x:v>2.417753626718237</x:v>
      </x:c>
      <x:c r="AG72" s="20" t="n">
        <x:f>IF(E72="S",EXP(PI()*TAN(RADIANS(S72)))*TAN(RADIANS(45+S72/2))^2*(1+TAN(RADIANS(S72))),0)</x:f>
        <x:v>0</x:v>
      </x:c>
      <x:c r="AH72" s="20" t="n">
        <x:f>IF(E72="S",0.6934*EXP(0.0974*S72),0)</x:f>
        <x:v>0</x:v>
      </x:c>
      <x:c r="AI72" s="20" t="n">
        <x:f>IF(Pile_Input!$B$5&gt;1.5,AG72,AH72)</x:f>
        <x:v>0</x:v>
      </x:c>
      <x:c r="AJ72" s="20" t="n">
        <x:f>IF(E72="S",2*(AI72+1)*TAN(RADIANS(S72)),0)</x:f>
        <x:v>0</x:v>
      </x:c>
      <x:c r="AK72" s="20" t="n">
        <x:f>MIN(9*O72,Pile_Input!$B$12)</x:f>
        <x:v>0</x:v>
      </x:c>
      <x:c r="AL72" s="20" t="n">
        <x:f>MIN((AI72-1)*L72,Pile_Input!$B$12)</x:f>
        <x:v>0</x:v>
      </x:c>
      <x:c r="AM72" s="20" t="n">
        <x:f>IF(E72="C",AK72,IF(E72="S",AL72,0))</x:f>
        <x:v>0</x:v>
      </x:c>
      <x:c r="AN72" s="20" t="e">
        <x:f>AVERAGE(INDEX($AM:$AM,MAX(2,ROW()-1)):INDEX($AM:$AM,MIN(101,ROW()+2)))</x:f>
      </x:c>
      <x:c r="AO72" s="20" t="e">
        <x:f>AN72*Pile_Input!$B$7</x:f>
      </x:c>
      <x:c r="AP72" s="20" t="e">
        <x:f>AF72+AO72</x:f>
      </x:c>
      <x:c r="AQ72" s="20" t="e">
        <x:f>AP72/Pile_Input!$B$11</x:f>
      </x:c>
      <x:c r="AR72" s="20" t="n">
        <x:f>0.25*Pile_Input!$B$4*10</x:f>
        <x:v>875</x:v>
      </x:c>
      <x:c r="AS72" s="20" t="n">
        <x:f>Pile_Input!$B$7*AR72</x:f>
        <x:v>1649.3361431346414</x:v>
      </x:c>
    </x:row>
    <x:row r="73">
      <x:c r="A73" s="20" t="n">
        <x:f>Layer_Input!A73</x:f>
        <x:v>0</x:v>
      </x:c>
      <x:c r="B73" s="20" t="n">
        <x:f>Layer_Input!B73</x:f>
        <x:v>0</x:v>
      </x:c>
      <x:c r="C73" s="20" t="n">
        <x:f>Layer_Input!C73</x:f>
        <x:v>0</x:v>
      </x:c>
      <x:c r="D73" s="20" t="n">
        <x:f>Layer_Input!D73</x:f>
        <x:v>0</x:v>
      </x:c>
      <x:c r="E73" s="20" t="n">
        <x:f>Layer_Input!E73</x:f>
        <x:v>0</x:v>
      </x:c>
      <x:c r="F73" s="20" t="n">
        <x:f>Layer_Input!F73</x:f>
        <x:v>0</x:v>
      </x:c>
      <x:c r="G73" s="20" t="n">
        <x:f>Layer_Input!G73</x:f>
        <x:v>0</x:v>
      </x:c>
      <x:c r="H73" s="20" t="n">
        <x:f>Layer_Input!H73</x:f>
        <x:v>0</x:v>
      </x:c>
      <x:c r="I73" s="20" t="n">
        <x:f>MAX(C73-B73,0)</x:f>
        <x:v>0</x:v>
      </x:c>
      <x:c r="J73" s="20" t="n">
        <x:f>MAX(IF(B73&lt;Pile_Input!$B$9,D73,D73-Pile_Input!$B$10),0)</x:f>
        <x:v>0</x:v>
      </x:c>
      <x:c r="K73" s="20" t="n">
        <x:f>J73*I73</x:f>
        <x:v>0</x:v>
      </x:c>
      <x:c r="L73" s="20" t="str">
        <x:f>IF(B73="","",SUM($K$2:K73))</x:f>
      </x:c>
      <x:c r="M73" s="20" t="str">
        <x:f>IF(B73="","",L73-K73/2)</x:f>
      </x:c>
      <x:c r="N73" s="20" t="n">
        <x:f>IF(ISNUMBER(H73),0.52*H73,"")</x:f>
        <x:v>0</x:v>
      </x:c>
      <x:c r="O73" s="20" t="n">
        <x:f>IF(E73="C",AVERAGE(G73,N73),0)</x:f>
        <x:v>0</x:v>
      </x:c>
      <x:c r="P73" s="20" t="n">
        <x:f>IF(E73="C",0.93*EXP(-0.0536*O73),0)</x:f>
        <x:v>0</x:v>
      </x:c>
      <x:c r="Q73" s="20" t="n">
        <x:f>IF(E73="S",0.77*LOG10(20*95.76/MAX(M73*9.81,0.0001)),0)</x:f>
        <x:v>0</x:v>
      </x:c>
      <x:c r="R73" s="20" t="n">
        <x:f>Q73*H73</x:f>
        <x:v>0</x:v>
      </x:c>
      <x:c r="S73" s="20" t="n">
        <x:f>IF(E73="S",27.1+0.3*R73-0.00054*R73^2,0)</x:f>
        <x:v>0</x:v>
      </x:c>
      <x:c r="T73" s="20" t="n">
        <x:f>IF(E73="S",1-SIN(RADIANS(S73)),0)</x:f>
        <x:v>0</x:v>
      </x:c>
      <x:c r="U73" s="20" t="n">
        <x:f>1.5*T73</x:f>
        <x:v>0</x:v>
      </x:c>
      <x:c r="V73" s="20" t="n">
        <x:f>0.85*T73</x:f>
        <x:v>0</x:v>
      </x:c>
      <x:c r="W73" s="20" t="n">
        <x:f>IF(Pile_Input!$B$5&gt;1.5,U73,V73)</x:f>
        <x:v>0</x:v>
      </x:c>
      <x:c r="X73" s="20" t="n">
        <x:f>0.75*S73</x:f>
        <x:v>0</x:v>
      </x:c>
      <x:c r="Y73" s="20" t="n">
        <x:f>IF(E73="S",W73*TAN(RADIANS(X73)),0)</x:f>
        <x:v>0</x:v>
      </x:c>
      <x:c r="Z73" s="20" t="n">
        <x:f>P73*O73</x:f>
        <x:v>0</x:v>
      </x:c>
      <x:c r="AA73" s="20" t="n">
        <x:f>Y73*M73</x:f>
        <x:v>0</x:v>
      </x:c>
      <x:c r="AB73" s="20" t="n">
        <x:f>IF(E73="C",Z73,IF(E73="S",AA73,0))</x:f>
        <x:v>0</x:v>
      </x:c>
      <x:c r="AC73" s="20" t="n">
        <x:f>IF(B73&lt;Pile_Input!$B$8,0,MAX(AB73,0))</x:f>
        <x:v>0</x:v>
      </x:c>
      <x:c r="AD73" s="20" t="n">
        <x:f>Pile_Input!$B$7*I73</x:f>
        <x:v>0</x:v>
      </x:c>
      <x:c r="AE73" s="20" t="n">
        <x:f>AC73*AD73</x:f>
        <x:v>0</x:v>
      </x:c>
      <x:c r="AF73" s="20" t="n">
        <x:f>SUM($AE$2:AE73)</x:f>
        <x:v>2.417753626718237</x:v>
      </x:c>
      <x:c r="AG73" s="20" t="n">
        <x:f>IF(E73="S",EXP(PI()*TAN(RADIANS(S73)))*TAN(RADIANS(45+S73/2))^2*(1+TAN(RADIANS(S73))),0)</x:f>
        <x:v>0</x:v>
      </x:c>
      <x:c r="AH73" s="20" t="n">
        <x:f>IF(E73="S",0.6934*EXP(0.0974*S73),0)</x:f>
        <x:v>0</x:v>
      </x:c>
      <x:c r="AI73" s="20" t="n">
        <x:f>IF(Pile_Input!$B$5&gt;1.5,AG73,AH73)</x:f>
        <x:v>0</x:v>
      </x:c>
      <x:c r="AJ73" s="20" t="n">
        <x:f>IF(E73="S",2*(AI73+1)*TAN(RADIANS(S73)),0)</x:f>
        <x:v>0</x:v>
      </x:c>
      <x:c r="AK73" s="20" t="n">
        <x:f>MIN(9*O73,Pile_Input!$B$12)</x:f>
        <x:v>0</x:v>
      </x:c>
      <x:c r="AL73" s="20" t="n">
        <x:f>MIN((AI73-1)*L73,Pile_Input!$B$12)</x:f>
        <x:v>0</x:v>
      </x:c>
      <x:c r="AM73" s="20" t="n">
        <x:f>IF(E73="C",AK73,IF(E73="S",AL73,0))</x:f>
        <x:v>0</x:v>
      </x:c>
      <x:c r="AN73" s="20" t="e">
        <x:f>AVERAGE(INDEX($AM:$AM,MAX(2,ROW()-1)):INDEX($AM:$AM,MIN(101,ROW()+2)))</x:f>
      </x:c>
      <x:c r="AO73" s="20" t="e">
        <x:f>AN73*Pile_Input!$B$7</x:f>
      </x:c>
      <x:c r="AP73" s="20" t="e">
        <x:f>AF73+AO73</x:f>
      </x:c>
      <x:c r="AQ73" s="20" t="e">
        <x:f>AP73/Pile_Input!$B$11</x:f>
      </x:c>
      <x:c r="AR73" s="20" t="n">
        <x:f>0.25*Pile_Input!$B$4*10</x:f>
        <x:v>875</x:v>
      </x:c>
      <x:c r="AS73" s="20" t="n">
        <x:f>Pile_Input!$B$7*AR73</x:f>
        <x:v>1649.3361431346414</x:v>
      </x:c>
    </x:row>
    <x:row r="74">
      <x:c r="A74" s="20" t="n">
        <x:f>Layer_Input!A74</x:f>
        <x:v>0</x:v>
      </x:c>
      <x:c r="B74" s="20" t="n">
        <x:f>Layer_Input!B74</x:f>
        <x:v>0</x:v>
      </x:c>
      <x:c r="C74" s="20" t="n">
        <x:f>Layer_Input!C74</x:f>
        <x:v>0</x:v>
      </x:c>
      <x:c r="D74" s="20" t="n">
        <x:f>Layer_Input!D74</x:f>
        <x:v>0</x:v>
      </x:c>
      <x:c r="E74" s="20" t="n">
        <x:f>Layer_Input!E74</x:f>
        <x:v>0</x:v>
      </x:c>
      <x:c r="F74" s="20" t="n">
        <x:f>Layer_Input!F74</x:f>
        <x:v>0</x:v>
      </x:c>
      <x:c r="G74" s="20" t="n">
        <x:f>Layer_Input!G74</x:f>
        <x:v>0</x:v>
      </x:c>
      <x:c r="H74" s="20" t="n">
        <x:f>Layer_Input!H74</x:f>
        <x:v>0</x:v>
      </x:c>
      <x:c r="I74" s="20" t="n">
        <x:f>MAX(C74-B74,0)</x:f>
        <x:v>0</x:v>
      </x:c>
      <x:c r="J74" s="20" t="n">
        <x:f>MAX(IF(B74&lt;Pile_Input!$B$9,D74,D74-Pile_Input!$B$10),0)</x:f>
        <x:v>0</x:v>
      </x:c>
      <x:c r="K74" s="20" t="n">
        <x:f>J74*I74</x:f>
        <x:v>0</x:v>
      </x:c>
      <x:c r="L74" s="20" t="str">
        <x:f>IF(B74="","",SUM($K$2:K74))</x:f>
      </x:c>
      <x:c r="M74" s="20" t="str">
        <x:f>IF(B74="","",L74-K74/2)</x:f>
      </x:c>
      <x:c r="N74" s="20" t="n">
        <x:f>IF(ISNUMBER(H74),0.52*H74,"")</x:f>
        <x:v>0</x:v>
      </x:c>
      <x:c r="O74" s="20" t="n">
        <x:f>IF(E74="C",AVERAGE(G74,N74),0)</x:f>
        <x:v>0</x:v>
      </x:c>
      <x:c r="P74" s="20" t="n">
        <x:f>IF(E74="C",0.93*EXP(-0.0536*O74),0)</x:f>
        <x:v>0</x:v>
      </x:c>
      <x:c r="Q74" s="20" t="n">
        <x:f>IF(E74="S",0.77*LOG10(20*95.76/MAX(M74*9.81,0.0001)),0)</x:f>
        <x:v>0</x:v>
      </x:c>
      <x:c r="R74" s="20" t="n">
        <x:f>Q74*H74</x:f>
        <x:v>0</x:v>
      </x:c>
      <x:c r="S74" s="20" t="n">
        <x:f>IF(E74="S",27.1+0.3*R74-0.00054*R74^2,0)</x:f>
        <x:v>0</x:v>
      </x:c>
      <x:c r="T74" s="20" t="n">
        <x:f>IF(E74="S",1-SIN(RADIANS(S74)),0)</x:f>
        <x:v>0</x:v>
      </x:c>
      <x:c r="U74" s="20" t="n">
        <x:f>1.5*T74</x:f>
        <x:v>0</x:v>
      </x:c>
      <x:c r="V74" s="20" t="n">
        <x:f>0.85*T74</x:f>
        <x:v>0</x:v>
      </x:c>
      <x:c r="W74" s="20" t="n">
        <x:f>IF(Pile_Input!$B$5&gt;1.5,U74,V74)</x:f>
        <x:v>0</x:v>
      </x:c>
      <x:c r="X74" s="20" t="n">
        <x:f>0.75*S74</x:f>
        <x:v>0</x:v>
      </x:c>
      <x:c r="Y74" s="20" t="n">
        <x:f>IF(E74="S",W74*TAN(RADIANS(X74)),0)</x:f>
        <x:v>0</x:v>
      </x:c>
      <x:c r="Z74" s="20" t="n">
        <x:f>P74*O74</x:f>
        <x:v>0</x:v>
      </x:c>
      <x:c r="AA74" s="20" t="n">
        <x:f>Y74*M74</x:f>
        <x:v>0</x:v>
      </x:c>
      <x:c r="AB74" s="20" t="n">
        <x:f>IF(E74="C",Z74,IF(E74="S",AA74,0))</x:f>
        <x:v>0</x:v>
      </x:c>
      <x:c r="AC74" s="20" t="n">
        <x:f>IF(B74&lt;Pile_Input!$B$8,0,MAX(AB74,0))</x:f>
        <x:v>0</x:v>
      </x:c>
      <x:c r="AD74" s="20" t="n">
        <x:f>Pile_Input!$B$7*I74</x:f>
        <x:v>0</x:v>
      </x:c>
      <x:c r="AE74" s="20" t="n">
        <x:f>AC74*AD74</x:f>
        <x:v>0</x:v>
      </x:c>
      <x:c r="AF74" s="20" t="n">
        <x:f>SUM($AE$2:AE74)</x:f>
        <x:v>2.417753626718237</x:v>
      </x:c>
      <x:c r="AG74" s="20" t="n">
        <x:f>IF(E74="S",EXP(PI()*TAN(RADIANS(S74)))*TAN(RADIANS(45+S74/2))^2*(1+TAN(RADIANS(S74))),0)</x:f>
        <x:v>0</x:v>
      </x:c>
      <x:c r="AH74" s="20" t="n">
        <x:f>IF(E74="S",0.6934*EXP(0.0974*S74),0)</x:f>
        <x:v>0</x:v>
      </x:c>
      <x:c r="AI74" s="20" t="n">
        <x:f>IF(Pile_Input!$B$5&gt;1.5,AG74,AH74)</x:f>
        <x:v>0</x:v>
      </x:c>
      <x:c r="AJ74" s="20" t="n">
        <x:f>IF(E74="S",2*(AI74+1)*TAN(RADIANS(S74)),0)</x:f>
        <x:v>0</x:v>
      </x:c>
      <x:c r="AK74" s="20" t="n">
        <x:f>MIN(9*O74,Pile_Input!$B$12)</x:f>
        <x:v>0</x:v>
      </x:c>
      <x:c r="AL74" s="20" t="n">
        <x:f>MIN((AI74-1)*L74,Pile_Input!$B$12)</x:f>
        <x:v>0</x:v>
      </x:c>
      <x:c r="AM74" s="20" t="n">
        <x:f>IF(E74="C",AK74,IF(E74="S",AL74,0))</x:f>
        <x:v>0</x:v>
      </x:c>
      <x:c r="AN74" s="20" t="e">
        <x:f>AVERAGE(INDEX($AM:$AM,MAX(2,ROW()-1)):INDEX($AM:$AM,MIN(101,ROW()+2)))</x:f>
      </x:c>
      <x:c r="AO74" s="20" t="e">
        <x:f>AN74*Pile_Input!$B$7</x:f>
      </x:c>
      <x:c r="AP74" s="20" t="e">
        <x:f>AF74+AO74</x:f>
      </x:c>
      <x:c r="AQ74" s="20" t="e">
        <x:f>AP74/Pile_Input!$B$11</x:f>
      </x:c>
      <x:c r="AR74" s="20" t="n">
        <x:f>0.25*Pile_Input!$B$4*10</x:f>
        <x:v>875</x:v>
      </x:c>
      <x:c r="AS74" s="20" t="n">
        <x:f>Pile_Input!$B$7*AR74</x:f>
        <x:v>1649.3361431346414</x:v>
      </x:c>
    </x:row>
    <x:row r="75">
      <x:c r="A75" s="20" t="n">
        <x:f>Layer_Input!A75</x:f>
        <x:v>0</x:v>
      </x:c>
      <x:c r="B75" s="20" t="n">
        <x:f>Layer_Input!B75</x:f>
        <x:v>0</x:v>
      </x:c>
      <x:c r="C75" s="20" t="n">
        <x:f>Layer_Input!C75</x:f>
        <x:v>0</x:v>
      </x:c>
      <x:c r="D75" s="20" t="n">
        <x:f>Layer_Input!D75</x:f>
        <x:v>0</x:v>
      </x:c>
      <x:c r="E75" s="20" t="n">
        <x:f>Layer_Input!E75</x:f>
        <x:v>0</x:v>
      </x:c>
      <x:c r="F75" s="20" t="n">
        <x:f>Layer_Input!F75</x:f>
        <x:v>0</x:v>
      </x:c>
      <x:c r="G75" s="20" t="n">
        <x:f>Layer_Input!G75</x:f>
        <x:v>0</x:v>
      </x:c>
      <x:c r="H75" s="20" t="n">
        <x:f>Layer_Input!H75</x:f>
        <x:v>0</x:v>
      </x:c>
      <x:c r="I75" s="20" t="n">
        <x:f>MAX(C75-B75,0)</x:f>
        <x:v>0</x:v>
      </x:c>
      <x:c r="J75" s="20" t="n">
        <x:f>MAX(IF(B75&lt;Pile_Input!$B$9,D75,D75-Pile_Input!$B$10),0)</x:f>
        <x:v>0</x:v>
      </x:c>
      <x:c r="K75" s="20" t="n">
        <x:f>J75*I75</x:f>
        <x:v>0</x:v>
      </x:c>
      <x:c r="L75" s="20" t="str">
        <x:f>IF(B75="","",SUM($K$2:K75))</x:f>
      </x:c>
      <x:c r="M75" s="20" t="str">
        <x:f>IF(B75="","",L75-K75/2)</x:f>
      </x:c>
      <x:c r="N75" s="20" t="n">
        <x:f>IF(ISNUMBER(H75),0.52*H75,"")</x:f>
        <x:v>0</x:v>
      </x:c>
      <x:c r="O75" s="20" t="n">
        <x:f>IF(E75="C",AVERAGE(G75,N75),0)</x:f>
        <x:v>0</x:v>
      </x:c>
      <x:c r="P75" s="20" t="n">
        <x:f>IF(E75="C",0.93*EXP(-0.0536*O75),0)</x:f>
        <x:v>0</x:v>
      </x:c>
      <x:c r="Q75" s="20" t="n">
        <x:f>IF(E75="S",0.77*LOG10(20*95.76/MAX(M75*9.81,0.0001)),0)</x:f>
        <x:v>0</x:v>
      </x:c>
      <x:c r="R75" s="20" t="n">
        <x:f>Q75*H75</x:f>
        <x:v>0</x:v>
      </x:c>
      <x:c r="S75" s="20" t="n">
        <x:f>IF(E75="S",27.1+0.3*R75-0.00054*R75^2,0)</x:f>
        <x:v>0</x:v>
      </x:c>
      <x:c r="T75" s="20" t="n">
        <x:f>IF(E75="S",1-SIN(RADIANS(S75)),0)</x:f>
        <x:v>0</x:v>
      </x:c>
      <x:c r="U75" s="20" t="n">
        <x:f>1.5*T75</x:f>
        <x:v>0</x:v>
      </x:c>
      <x:c r="V75" s="20" t="n">
        <x:f>0.85*T75</x:f>
        <x:v>0</x:v>
      </x:c>
      <x:c r="W75" s="20" t="n">
        <x:f>IF(Pile_Input!$B$5&gt;1.5,U75,V75)</x:f>
        <x:v>0</x:v>
      </x:c>
      <x:c r="X75" s="20" t="n">
        <x:f>0.75*S75</x:f>
        <x:v>0</x:v>
      </x:c>
      <x:c r="Y75" s="20" t="n">
        <x:f>IF(E75="S",W75*TAN(RADIANS(X75)),0)</x:f>
        <x:v>0</x:v>
      </x:c>
      <x:c r="Z75" s="20" t="n">
        <x:f>P75*O75</x:f>
        <x:v>0</x:v>
      </x:c>
      <x:c r="AA75" s="20" t="n">
        <x:f>Y75*M75</x:f>
        <x:v>0</x:v>
      </x:c>
      <x:c r="AB75" s="20" t="n">
        <x:f>IF(E75="C",Z75,IF(E75="S",AA75,0))</x:f>
        <x:v>0</x:v>
      </x:c>
      <x:c r="AC75" s="20" t="n">
        <x:f>IF(B75&lt;Pile_Input!$B$8,0,MAX(AB75,0))</x:f>
        <x:v>0</x:v>
      </x:c>
      <x:c r="AD75" s="20" t="n">
        <x:f>Pile_Input!$B$7*I75</x:f>
        <x:v>0</x:v>
      </x:c>
      <x:c r="AE75" s="20" t="n">
        <x:f>AC75*AD75</x:f>
        <x:v>0</x:v>
      </x:c>
      <x:c r="AF75" s="20" t="n">
        <x:f>SUM($AE$2:AE75)</x:f>
        <x:v>2.417753626718237</x:v>
      </x:c>
      <x:c r="AG75" s="20" t="n">
        <x:f>IF(E75="S",EXP(PI()*TAN(RADIANS(S75)))*TAN(RADIANS(45+S75/2))^2*(1+TAN(RADIANS(S75))),0)</x:f>
        <x:v>0</x:v>
      </x:c>
      <x:c r="AH75" s="20" t="n">
        <x:f>IF(E75="S",0.6934*EXP(0.0974*S75),0)</x:f>
        <x:v>0</x:v>
      </x:c>
      <x:c r="AI75" s="20" t="n">
        <x:f>IF(Pile_Input!$B$5&gt;1.5,AG75,AH75)</x:f>
        <x:v>0</x:v>
      </x:c>
      <x:c r="AJ75" s="20" t="n">
        <x:f>IF(E75="S",2*(AI75+1)*TAN(RADIANS(S75)),0)</x:f>
        <x:v>0</x:v>
      </x:c>
      <x:c r="AK75" s="20" t="n">
        <x:f>MIN(9*O75,Pile_Input!$B$12)</x:f>
        <x:v>0</x:v>
      </x:c>
      <x:c r="AL75" s="20" t="n">
        <x:f>MIN((AI75-1)*L75,Pile_Input!$B$12)</x:f>
        <x:v>0</x:v>
      </x:c>
      <x:c r="AM75" s="20" t="n">
        <x:f>IF(E75="C",AK75,IF(E75="S",AL75,0))</x:f>
        <x:v>0</x:v>
      </x:c>
      <x:c r="AN75" s="20" t="e">
        <x:f>AVERAGE(INDEX($AM:$AM,MAX(2,ROW()-1)):INDEX($AM:$AM,MIN(101,ROW()+2)))</x:f>
      </x:c>
      <x:c r="AO75" s="20" t="e">
        <x:f>AN75*Pile_Input!$B$7</x:f>
      </x:c>
      <x:c r="AP75" s="20" t="e">
        <x:f>AF75+AO75</x:f>
      </x:c>
      <x:c r="AQ75" s="20" t="e">
        <x:f>AP75/Pile_Input!$B$11</x:f>
      </x:c>
      <x:c r="AR75" s="20" t="n">
        <x:f>0.25*Pile_Input!$B$4*10</x:f>
        <x:v>875</x:v>
      </x:c>
      <x:c r="AS75" s="20" t="n">
        <x:f>Pile_Input!$B$7*AR75</x:f>
        <x:v>1649.3361431346414</x:v>
      </x:c>
    </x:row>
    <x:row r="76">
      <x:c r="A76" s="20" t="n">
        <x:f>Layer_Input!A76</x:f>
        <x:v>0</x:v>
      </x:c>
      <x:c r="B76" s="20" t="n">
        <x:f>Layer_Input!B76</x:f>
        <x:v>0</x:v>
      </x:c>
      <x:c r="C76" s="20" t="n">
        <x:f>Layer_Input!C76</x:f>
        <x:v>0</x:v>
      </x:c>
      <x:c r="D76" s="20" t="n">
        <x:f>Layer_Input!D76</x:f>
        <x:v>0</x:v>
      </x:c>
      <x:c r="E76" s="20" t="n">
        <x:f>Layer_Input!E76</x:f>
        <x:v>0</x:v>
      </x:c>
      <x:c r="F76" s="20" t="n">
        <x:f>Layer_Input!F76</x:f>
        <x:v>0</x:v>
      </x:c>
      <x:c r="G76" s="20" t="n">
        <x:f>Layer_Input!G76</x:f>
        <x:v>0</x:v>
      </x:c>
      <x:c r="H76" s="20" t="n">
        <x:f>Layer_Input!H76</x:f>
        <x:v>0</x:v>
      </x:c>
      <x:c r="I76" s="20" t="n">
        <x:f>MAX(C76-B76,0)</x:f>
        <x:v>0</x:v>
      </x:c>
      <x:c r="J76" s="20" t="n">
        <x:f>MAX(IF(B76&lt;Pile_Input!$B$9,D76,D76-Pile_Input!$B$10),0)</x:f>
        <x:v>0</x:v>
      </x:c>
      <x:c r="K76" s="20" t="n">
        <x:f>J76*I76</x:f>
        <x:v>0</x:v>
      </x:c>
      <x:c r="L76" s="20" t="str">
        <x:f>IF(B76="","",SUM($K$2:K76))</x:f>
      </x:c>
      <x:c r="M76" s="20" t="str">
        <x:f>IF(B76="","",L76-K76/2)</x:f>
      </x:c>
      <x:c r="N76" s="20" t="n">
        <x:f>IF(ISNUMBER(H76),0.52*H76,"")</x:f>
        <x:v>0</x:v>
      </x:c>
      <x:c r="O76" s="20" t="n">
        <x:f>IF(E76="C",AVERAGE(G76,N76),0)</x:f>
        <x:v>0</x:v>
      </x:c>
      <x:c r="P76" s="20" t="n">
        <x:f>IF(E76="C",0.93*EXP(-0.0536*O76),0)</x:f>
        <x:v>0</x:v>
      </x:c>
      <x:c r="Q76" s="20" t="n">
        <x:f>IF(E76="S",0.77*LOG10(20*95.76/MAX(M76*9.81,0.0001)),0)</x:f>
        <x:v>0</x:v>
      </x:c>
      <x:c r="R76" s="20" t="n">
        <x:f>Q76*H76</x:f>
        <x:v>0</x:v>
      </x:c>
      <x:c r="S76" s="20" t="n">
        <x:f>IF(E76="S",27.1+0.3*R76-0.00054*R76^2,0)</x:f>
        <x:v>0</x:v>
      </x:c>
      <x:c r="T76" s="20" t="n">
        <x:f>IF(E76="S",1-SIN(RADIANS(S76)),0)</x:f>
        <x:v>0</x:v>
      </x:c>
      <x:c r="U76" s="20" t="n">
        <x:f>1.5*T76</x:f>
        <x:v>0</x:v>
      </x:c>
      <x:c r="V76" s="20" t="n">
        <x:f>0.85*T76</x:f>
        <x:v>0</x:v>
      </x:c>
      <x:c r="W76" s="20" t="n">
        <x:f>IF(Pile_Input!$B$5&gt;1.5,U76,V76)</x:f>
        <x:v>0</x:v>
      </x:c>
      <x:c r="X76" s="20" t="n">
        <x:f>0.75*S76</x:f>
        <x:v>0</x:v>
      </x:c>
      <x:c r="Y76" s="20" t="n">
        <x:f>IF(E76="S",W76*TAN(RADIANS(X76)),0)</x:f>
        <x:v>0</x:v>
      </x:c>
      <x:c r="Z76" s="20" t="n">
        <x:f>P76*O76</x:f>
        <x:v>0</x:v>
      </x:c>
      <x:c r="AA76" s="20" t="n">
        <x:f>Y76*M76</x:f>
        <x:v>0</x:v>
      </x:c>
      <x:c r="AB76" s="20" t="n">
        <x:f>IF(E76="C",Z76,IF(E76="S",AA76,0))</x:f>
        <x:v>0</x:v>
      </x:c>
      <x:c r="AC76" s="20" t="n">
        <x:f>IF(B76&lt;Pile_Input!$B$8,0,MAX(AB76,0))</x:f>
        <x:v>0</x:v>
      </x:c>
      <x:c r="AD76" s="20" t="n">
        <x:f>Pile_Input!$B$7*I76</x:f>
        <x:v>0</x:v>
      </x:c>
      <x:c r="AE76" s="20" t="n">
        <x:f>AC76*AD76</x:f>
        <x:v>0</x:v>
      </x:c>
      <x:c r="AF76" s="20" t="n">
        <x:f>SUM($AE$2:AE76)</x:f>
        <x:v>2.417753626718237</x:v>
      </x:c>
      <x:c r="AG76" s="20" t="n">
        <x:f>IF(E76="S",EXP(PI()*TAN(RADIANS(S76)))*TAN(RADIANS(45+S76/2))^2*(1+TAN(RADIANS(S76))),0)</x:f>
        <x:v>0</x:v>
      </x:c>
      <x:c r="AH76" s="20" t="n">
        <x:f>IF(E76="S",0.6934*EXP(0.0974*S76),0)</x:f>
        <x:v>0</x:v>
      </x:c>
      <x:c r="AI76" s="20" t="n">
        <x:f>IF(Pile_Input!$B$5&gt;1.5,AG76,AH76)</x:f>
        <x:v>0</x:v>
      </x:c>
      <x:c r="AJ76" s="20" t="n">
        <x:f>IF(E76="S",2*(AI76+1)*TAN(RADIANS(S76)),0)</x:f>
        <x:v>0</x:v>
      </x:c>
      <x:c r="AK76" s="20" t="n">
        <x:f>MIN(9*O76,Pile_Input!$B$12)</x:f>
        <x:v>0</x:v>
      </x:c>
      <x:c r="AL76" s="20" t="n">
        <x:f>MIN((AI76-1)*L76,Pile_Input!$B$12)</x:f>
        <x:v>0</x:v>
      </x:c>
      <x:c r="AM76" s="20" t="n">
        <x:f>IF(E76="C",AK76,IF(E76="S",AL76,0))</x:f>
        <x:v>0</x:v>
      </x:c>
      <x:c r="AN76" s="20" t="e">
        <x:f>AVERAGE(INDEX($AM:$AM,MAX(2,ROW()-1)):INDEX($AM:$AM,MIN(101,ROW()+2)))</x:f>
      </x:c>
      <x:c r="AO76" s="20" t="e">
        <x:f>AN76*Pile_Input!$B$7</x:f>
      </x:c>
      <x:c r="AP76" s="20" t="e">
        <x:f>AF76+AO76</x:f>
      </x:c>
      <x:c r="AQ76" s="20" t="e">
        <x:f>AP76/Pile_Input!$B$11</x:f>
      </x:c>
      <x:c r="AR76" s="20" t="n">
        <x:f>0.25*Pile_Input!$B$4*10</x:f>
        <x:v>875</x:v>
      </x:c>
      <x:c r="AS76" s="20" t="n">
        <x:f>Pile_Input!$B$7*AR76</x:f>
        <x:v>1649.3361431346414</x:v>
      </x:c>
    </x:row>
    <x:row r="77">
      <x:c r="A77" s="20" t="n">
        <x:f>Layer_Input!A77</x:f>
        <x:v>0</x:v>
      </x:c>
      <x:c r="B77" s="20" t="n">
        <x:f>Layer_Input!B77</x:f>
        <x:v>0</x:v>
      </x:c>
      <x:c r="C77" s="20" t="n">
        <x:f>Layer_Input!C77</x:f>
        <x:v>0</x:v>
      </x:c>
      <x:c r="D77" s="20" t="n">
        <x:f>Layer_Input!D77</x:f>
        <x:v>0</x:v>
      </x:c>
      <x:c r="E77" s="20" t="n">
        <x:f>Layer_Input!E77</x:f>
        <x:v>0</x:v>
      </x:c>
      <x:c r="F77" s="20" t="n">
        <x:f>Layer_Input!F77</x:f>
        <x:v>0</x:v>
      </x:c>
      <x:c r="G77" s="20" t="n">
        <x:f>Layer_Input!G77</x:f>
        <x:v>0</x:v>
      </x:c>
      <x:c r="H77" s="20" t="n">
        <x:f>Layer_Input!H77</x:f>
        <x:v>0</x:v>
      </x:c>
      <x:c r="I77" s="20" t="n">
        <x:f>MAX(C77-B77,0)</x:f>
        <x:v>0</x:v>
      </x:c>
      <x:c r="J77" s="20" t="n">
        <x:f>MAX(IF(B77&lt;Pile_Input!$B$9,D77,D77-Pile_Input!$B$10),0)</x:f>
        <x:v>0</x:v>
      </x:c>
      <x:c r="K77" s="20" t="n">
        <x:f>J77*I77</x:f>
        <x:v>0</x:v>
      </x:c>
      <x:c r="L77" s="20" t="str">
        <x:f>IF(B77="","",SUM($K$2:K77))</x:f>
      </x:c>
      <x:c r="M77" s="20" t="str">
        <x:f>IF(B77="","",L77-K77/2)</x:f>
      </x:c>
      <x:c r="N77" s="20" t="n">
        <x:f>IF(ISNUMBER(H77),0.52*H77,"")</x:f>
        <x:v>0</x:v>
      </x:c>
      <x:c r="O77" s="20" t="n">
        <x:f>IF(E77="C",AVERAGE(G77,N77),0)</x:f>
        <x:v>0</x:v>
      </x:c>
      <x:c r="P77" s="20" t="n">
        <x:f>IF(E77="C",0.93*EXP(-0.0536*O77),0)</x:f>
        <x:v>0</x:v>
      </x:c>
      <x:c r="Q77" s="20" t="n">
        <x:f>IF(E77="S",0.77*LOG10(20*95.76/MAX(M77*9.81,0.0001)),0)</x:f>
        <x:v>0</x:v>
      </x:c>
      <x:c r="R77" s="20" t="n">
        <x:f>Q77*H77</x:f>
        <x:v>0</x:v>
      </x:c>
      <x:c r="S77" s="20" t="n">
        <x:f>IF(E77="S",27.1+0.3*R77-0.00054*R77^2,0)</x:f>
        <x:v>0</x:v>
      </x:c>
      <x:c r="T77" s="20" t="n">
        <x:f>IF(E77="S",1-SIN(RADIANS(S77)),0)</x:f>
        <x:v>0</x:v>
      </x:c>
      <x:c r="U77" s="20" t="n">
        <x:f>1.5*T77</x:f>
        <x:v>0</x:v>
      </x:c>
      <x:c r="V77" s="20" t="n">
        <x:f>0.85*T77</x:f>
        <x:v>0</x:v>
      </x:c>
      <x:c r="W77" s="20" t="n">
        <x:f>IF(Pile_Input!$B$5&gt;1.5,U77,V77)</x:f>
        <x:v>0</x:v>
      </x:c>
      <x:c r="X77" s="20" t="n">
        <x:f>0.75*S77</x:f>
        <x:v>0</x:v>
      </x:c>
      <x:c r="Y77" s="20" t="n">
        <x:f>IF(E77="S",W77*TAN(RADIANS(X77)),0)</x:f>
        <x:v>0</x:v>
      </x:c>
      <x:c r="Z77" s="20" t="n">
        <x:f>P77*O77</x:f>
        <x:v>0</x:v>
      </x:c>
      <x:c r="AA77" s="20" t="n">
        <x:f>Y77*M77</x:f>
        <x:v>0</x:v>
      </x:c>
      <x:c r="AB77" s="20" t="n">
        <x:f>IF(E77="C",Z77,IF(E77="S",AA77,0))</x:f>
        <x:v>0</x:v>
      </x:c>
      <x:c r="AC77" s="20" t="n">
        <x:f>IF(B77&lt;Pile_Input!$B$8,0,MAX(AB77,0))</x:f>
        <x:v>0</x:v>
      </x:c>
      <x:c r="AD77" s="20" t="n">
        <x:f>Pile_Input!$B$7*I77</x:f>
        <x:v>0</x:v>
      </x:c>
      <x:c r="AE77" s="20" t="n">
        <x:f>AC77*AD77</x:f>
        <x:v>0</x:v>
      </x:c>
      <x:c r="AF77" s="20" t="n">
        <x:f>SUM($AE$2:AE77)</x:f>
        <x:v>2.417753626718237</x:v>
      </x:c>
      <x:c r="AG77" s="20" t="n">
        <x:f>IF(E77="S",EXP(PI()*TAN(RADIANS(S77)))*TAN(RADIANS(45+S77/2))^2*(1+TAN(RADIANS(S77))),0)</x:f>
        <x:v>0</x:v>
      </x:c>
      <x:c r="AH77" s="20" t="n">
        <x:f>IF(E77="S",0.6934*EXP(0.0974*S77),0)</x:f>
        <x:v>0</x:v>
      </x:c>
      <x:c r="AI77" s="20" t="n">
        <x:f>IF(Pile_Input!$B$5&gt;1.5,AG77,AH77)</x:f>
        <x:v>0</x:v>
      </x:c>
      <x:c r="AJ77" s="20" t="n">
        <x:f>IF(E77="S",2*(AI77+1)*TAN(RADIANS(S77)),0)</x:f>
        <x:v>0</x:v>
      </x:c>
      <x:c r="AK77" s="20" t="n">
        <x:f>MIN(9*O77,Pile_Input!$B$12)</x:f>
        <x:v>0</x:v>
      </x:c>
      <x:c r="AL77" s="20" t="n">
        <x:f>MIN((AI77-1)*L77,Pile_Input!$B$12)</x:f>
        <x:v>0</x:v>
      </x:c>
      <x:c r="AM77" s="20" t="n">
        <x:f>IF(E77="C",AK77,IF(E77="S",AL77,0))</x:f>
        <x:v>0</x:v>
      </x:c>
      <x:c r="AN77" s="20" t="e">
        <x:f>AVERAGE(INDEX($AM:$AM,MAX(2,ROW()-1)):INDEX($AM:$AM,MIN(101,ROW()+2)))</x:f>
      </x:c>
      <x:c r="AO77" s="20" t="e">
        <x:f>AN77*Pile_Input!$B$7</x:f>
      </x:c>
      <x:c r="AP77" s="20" t="e">
        <x:f>AF77+AO77</x:f>
      </x:c>
      <x:c r="AQ77" s="20" t="e">
        <x:f>AP77/Pile_Input!$B$11</x:f>
      </x:c>
      <x:c r="AR77" s="20" t="n">
        <x:f>0.25*Pile_Input!$B$4*10</x:f>
        <x:v>875</x:v>
      </x:c>
      <x:c r="AS77" s="20" t="n">
        <x:f>Pile_Input!$B$7*AR77</x:f>
        <x:v>1649.3361431346414</x:v>
      </x:c>
    </x:row>
    <x:row r="78">
      <x:c r="A78" s="20" t="n">
        <x:f>Layer_Input!A78</x:f>
        <x:v>0</x:v>
      </x:c>
      <x:c r="B78" s="20" t="n">
        <x:f>Layer_Input!B78</x:f>
        <x:v>0</x:v>
      </x:c>
      <x:c r="C78" s="20" t="n">
        <x:f>Layer_Input!C78</x:f>
        <x:v>0</x:v>
      </x:c>
      <x:c r="D78" s="20" t="n">
        <x:f>Layer_Input!D78</x:f>
        <x:v>0</x:v>
      </x:c>
      <x:c r="E78" s="20" t="n">
        <x:f>Layer_Input!E78</x:f>
        <x:v>0</x:v>
      </x:c>
      <x:c r="F78" s="20" t="n">
        <x:f>Layer_Input!F78</x:f>
        <x:v>0</x:v>
      </x:c>
      <x:c r="G78" s="20" t="n">
        <x:f>Layer_Input!G78</x:f>
        <x:v>0</x:v>
      </x:c>
      <x:c r="H78" s="20" t="n">
        <x:f>Layer_Input!H78</x:f>
        <x:v>0</x:v>
      </x:c>
      <x:c r="I78" s="20" t="n">
        <x:f>MAX(C78-B78,0)</x:f>
        <x:v>0</x:v>
      </x:c>
      <x:c r="J78" s="20" t="n">
        <x:f>MAX(IF(B78&lt;Pile_Input!$B$9,D78,D78-Pile_Input!$B$10),0)</x:f>
        <x:v>0</x:v>
      </x:c>
      <x:c r="K78" s="20" t="n">
        <x:f>J78*I78</x:f>
        <x:v>0</x:v>
      </x:c>
      <x:c r="L78" s="20" t="str">
        <x:f>IF(B78="","",SUM($K$2:K78))</x:f>
      </x:c>
      <x:c r="M78" s="20" t="str">
        <x:f>IF(B78="","",L78-K78/2)</x:f>
      </x:c>
      <x:c r="N78" s="20" t="n">
        <x:f>IF(ISNUMBER(H78),0.52*H78,"")</x:f>
        <x:v>0</x:v>
      </x:c>
      <x:c r="O78" s="20" t="n">
        <x:f>IF(E78="C",AVERAGE(G78,N78),0)</x:f>
        <x:v>0</x:v>
      </x:c>
      <x:c r="P78" s="20" t="n">
        <x:f>IF(E78="C",0.93*EXP(-0.0536*O78),0)</x:f>
        <x:v>0</x:v>
      </x:c>
      <x:c r="Q78" s="20" t="n">
        <x:f>IF(E78="S",0.77*LOG10(20*95.76/MAX(M78*9.81,0.0001)),0)</x:f>
        <x:v>0</x:v>
      </x:c>
      <x:c r="R78" s="20" t="n">
        <x:f>Q78*H78</x:f>
        <x:v>0</x:v>
      </x:c>
      <x:c r="S78" s="20" t="n">
        <x:f>IF(E78="S",27.1+0.3*R78-0.00054*R78^2,0)</x:f>
        <x:v>0</x:v>
      </x:c>
      <x:c r="T78" s="20" t="n">
        <x:f>IF(E78="S",1-SIN(RADIANS(S78)),0)</x:f>
        <x:v>0</x:v>
      </x:c>
      <x:c r="U78" s="20" t="n">
        <x:f>1.5*T78</x:f>
        <x:v>0</x:v>
      </x:c>
      <x:c r="V78" s="20" t="n">
        <x:f>0.85*T78</x:f>
        <x:v>0</x:v>
      </x:c>
      <x:c r="W78" s="20" t="n">
        <x:f>IF(Pile_Input!$B$5&gt;1.5,U78,V78)</x:f>
        <x:v>0</x:v>
      </x:c>
      <x:c r="X78" s="20" t="n">
        <x:f>0.75*S78</x:f>
        <x:v>0</x:v>
      </x:c>
      <x:c r="Y78" s="20" t="n">
        <x:f>IF(E78="S",W78*TAN(RADIANS(X78)),0)</x:f>
        <x:v>0</x:v>
      </x:c>
      <x:c r="Z78" s="20" t="n">
        <x:f>P78*O78</x:f>
        <x:v>0</x:v>
      </x:c>
      <x:c r="AA78" s="20" t="n">
        <x:f>Y78*M78</x:f>
        <x:v>0</x:v>
      </x:c>
      <x:c r="AB78" s="20" t="n">
        <x:f>IF(E78="C",Z78,IF(E78="S",AA78,0))</x:f>
        <x:v>0</x:v>
      </x:c>
      <x:c r="AC78" s="20" t="n">
        <x:f>IF(B78&lt;Pile_Input!$B$8,0,MAX(AB78,0))</x:f>
        <x:v>0</x:v>
      </x:c>
      <x:c r="AD78" s="20" t="n">
        <x:f>Pile_Input!$B$7*I78</x:f>
        <x:v>0</x:v>
      </x:c>
      <x:c r="AE78" s="20" t="n">
        <x:f>AC78*AD78</x:f>
        <x:v>0</x:v>
      </x:c>
      <x:c r="AF78" s="20" t="n">
        <x:f>SUM($AE$2:AE78)</x:f>
        <x:v>2.417753626718237</x:v>
      </x:c>
      <x:c r="AG78" s="20" t="n">
        <x:f>IF(E78="S",EXP(PI()*TAN(RADIANS(S78)))*TAN(RADIANS(45+S78/2))^2*(1+TAN(RADIANS(S78))),0)</x:f>
        <x:v>0</x:v>
      </x:c>
      <x:c r="AH78" s="20" t="n">
        <x:f>IF(E78="S",0.6934*EXP(0.0974*S78),0)</x:f>
        <x:v>0</x:v>
      </x:c>
      <x:c r="AI78" s="20" t="n">
        <x:f>IF(Pile_Input!$B$5&gt;1.5,AG78,AH78)</x:f>
        <x:v>0</x:v>
      </x:c>
      <x:c r="AJ78" s="20" t="n">
        <x:f>IF(E78="S",2*(AI78+1)*TAN(RADIANS(S78)),0)</x:f>
        <x:v>0</x:v>
      </x:c>
      <x:c r="AK78" s="20" t="n">
        <x:f>MIN(9*O78,Pile_Input!$B$12)</x:f>
        <x:v>0</x:v>
      </x:c>
      <x:c r="AL78" s="20" t="n">
        <x:f>MIN((AI78-1)*L78,Pile_Input!$B$12)</x:f>
        <x:v>0</x:v>
      </x:c>
      <x:c r="AM78" s="20" t="n">
        <x:f>IF(E78="C",AK78,IF(E78="S",AL78,0))</x:f>
        <x:v>0</x:v>
      </x:c>
      <x:c r="AN78" s="20" t="e">
        <x:f>AVERAGE(INDEX($AM:$AM,MAX(2,ROW()-1)):INDEX($AM:$AM,MIN(101,ROW()+2)))</x:f>
      </x:c>
      <x:c r="AO78" s="20" t="e">
        <x:f>AN78*Pile_Input!$B$7</x:f>
      </x:c>
      <x:c r="AP78" s="20" t="e">
        <x:f>AF78+AO78</x:f>
      </x:c>
      <x:c r="AQ78" s="20" t="e">
        <x:f>AP78/Pile_Input!$B$11</x:f>
      </x:c>
      <x:c r="AR78" s="20" t="n">
        <x:f>0.25*Pile_Input!$B$4*10</x:f>
        <x:v>875</x:v>
      </x:c>
      <x:c r="AS78" s="20" t="n">
        <x:f>Pile_Input!$B$7*AR78</x:f>
        <x:v>1649.3361431346414</x:v>
      </x:c>
    </x:row>
    <x:row r="79">
      <x:c r="A79" s="20" t="n">
        <x:f>Layer_Input!A79</x:f>
        <x:v>0</x:v>
      </x:c>
      <x:c r="B79" s="20" t="n">
        <x:f>Layer_Input!B79</x:f>
        <x:v>0</x:v>
      </x:c>
      <x:c r="C79" s="20" t="n">
        <x:f>Layer_Input!C79</x:f>
        <x:v>0</x:v>
      </x:c>
      <x:c r="D79" s="20" t="n">
        <x:f>Layer_Input!D79</x:f>
        <x:v>0</x:v>
      </x:c>
      <x:c r="E79" s="20" t="n">
        <x:f>Layer_Input!E79</x:f>
        <x:v>0</x:v>
      </x:c>
      <x:c r="F79" s="20" t="n">
        <x:f>Layer_Input!F79</x:f>
        <x:v>0</x:v>
      </x:c>
      <x:c r="G79" s="20" t="n">
        <x:f>Layer_Input!G79</x:f>
        <x:v>0</x:v>
      </x:c>
      <x:c r="H79" s="20" t="n">
        <x:f>Layer_Input!H79</x:f>
        <x:v>0</x:v>
      </x:c>
      <x:c r="I79" s="20" t="n">
        <x:f>MAX(C79-B79,0)</x:f>
        <x:v>0</x:v>
      </x:c>
      <x:c r="J79" s="20" t="n">
        <x:f>MAX(IF(B79&lt;Pile_Input!$B$9,D79,D79-Pile_Input!$B$10),0)</x:f>
        <x:v>0</x:v>
      </x:c>
      <x:c r="K79" s="20" t="n">
        <x:f>J79*I79</x:f>
        <x:v>0</x:v>
      </x:c>
      <x:c r="L79" s="20" t="str">
        <x:f>IF(B79="","",SUM($K$2:K79))</x:f>
      </x:c>
      <x:c r="M79" s="20" t="str">
        <x:f>IF(B79="","",L79-K79/2)</x:f>
      </x:c>
      <x:c r="N79" s="20" t="n">
        <x:f>IF(ISNUMBER(H79),0.52*H79,"")</x:f>
        <x:v>0</x:v>
      </x:c>
      <x:c r="O79" s="20" t="n">
        <x:f>IF(E79="C",AVERAGE(G79,N79),0)</x:f>
        <x:v>0</x:v>
      </x:c>
      <x:c r="P79" s="20" t="n">
        <x:f>IF(E79="C",0.93*EXP(-0.0536*O79),0)</x:f>
        <x:v>0</x:v>
      </x:c>
      <x:c r="Q79" s="20" t="n">
        <x:f>IF(E79="S",0.77*LOG10(20*95.76/MAX(M79*9.81,0.0001)),0)</x:f>
        <x:v>0</x:v>
      </x:c>
      <x:c r="R79" s="20" t="n">
        <x:f>Q79*H79</x:f>
        <x:v>0</x:v>
      </x:c>
      <x:c r="S79" s="20" t="n">
        <x:f>IF(E79="S",27.1+0.3*R79-0.00054*R79^2,0)</x:f>
        <x:v>0</x:v>
      </x:c>
      <x:c r="T79" s="20" t="n">
        <x:f>IF(E79="S",1-SIN(RADIANS(S79)),0)</x:f>
        <x:v>0</x:v>
      </x:c>
      <x:c r="U79" s="20" t="n">
        <x:f>1.5*T79</x:f>
        <x:v>0</x:v>
      </x:c>
      <x:c r="V79" s="20" t="n">
        <x:f>0.85*T79</x:f>
        <x:v>0</x:v>
      </x:c>
      <x:c r="W79" s="20" t="n">
        <x:f>IF(Pile_Input!$B$5&gt;1.5,U79,V79)</x:f>
        <x:v>0</x:v>
      </x:c>
      <x:c r="X79" s="20" t="n">
        <x:f>0.75*S79</x:f>
        <x:v>0</x:v>
      </x:c>
      <x:c r="Y79" s="20" t="n">
        <x:f>IF(E79="S",W79*TAN(RADIANS(X79)),0)</x:f>
        <x:v>0</x:v>
      </x:c>
      <x:c r="Z79" s="20" t="n">
        <x:f>P79*O79</x:f>
        <x:v>0</x:v>
      </x:c>
      <x:c r="AA79" s="20" t="n">
        <x:f>Y79*M79</x:f>
        <x:v>0</x:v>
      </x:c>
      <x:c r="AB79" s="20" t="n">
        <x:f>IF(E79="C",Z79,IF(E79="S",AA79,0))</x:f>
        <x:v>0</x:v>
      </x:c>
      <x:c r="AC79" s="20" t="n">
        <x:f>IF(B79&lt;Pile_Input!$B$8,0,MAX(AB79,0))</x:f>
        <x:v>0</x:v>
      </x:c>
      <x:c r="AD79" s="20" t="n">
        <x:f>Pile_Input!$B$7*I79</x:f>
        <x:v>0</x:v>
      </x:c>
      <x:c r="AE79" s="20" t="n">
        <x:f>AC79*AD79</x:f>
        <x:v>0</x:v>
      </x:c>
      <x:c r="AF79" s="20" t="n">
        <x:f>SUM($AE$2:AE79)</x:f>
        <x:v>2.417753626718237</x:v>
      </x:c>
      <x:c r="AG79" s="20" t="n">
        <x:f>IF(E79="S",EXP(PI()*TAN(RADIANS(S79)))*TAN(RADIANS(45+S79/2))^2*(1+TAN(RADIANS(S79))),0)</x:f>
        <x:v>0</x:v>
      </x:c>
      <x:c r="AH79" s="20" t="n">
        <x:f>IF(E79="S",0.6934*EXP(0.0974*S79),0)</x:f>
        <x:v>0</x:v>
      </x:c>
      <x:c r="AI79" s="20" t="n">
        <x:f>IF(Pile_Input!$B$5&gt;1.5,AG79,AH79)</x:f>
        <x:v>0</x:v>
      </x:c>
      <x:c r="AJ79" s="20" t="n">
        <x:f>IF(E79="S",2*(AI79+1)*TAN(RADIANS(S79)),0)</x:f>
        <x:v>0</x:v>
      </x:c>
      <x:c r="AK79" s="20" t="n">
        <x:f>MIN(9*O79,Pile_Input!$B$12)</x:f>
        <x:v>0</x:v>
      </x:c>
      <x:c r="AL79" s="20" t="n">
        <x:f>MIN((AI79-1)*L79,Pile_Input!$B$12)</x:f>
        <x:v>0</x:v>
      </x:c>
      <x:c r="AM79" s="20" t="n">
        <x:f>IF(E79="C",AK79,IF(E79="S",AL79,0))</x:f>
        <x:v>0</x:v>
      </x:c>
      <x:c r="AN79" s="20" t="e">
        <x:f>AVERAGE(INDEX($AM:$AM,MAX(2,ROW()-1)):INDEX($AM:$AM,MIN(101,ROW()+2)))</x:f>
      </x:c>
      <x:c r="AO79" s="20" t="e">
        <x:f>AN79*Pile_Input!$B$7</x:f>
      </x:c>
      <x:c r="AP79" s="20" t="e">
        <x:f>AF79+AO79</x:f>
      </x:c>
      <x:c r="AQ79" s="20" t="e">
        <x:f>AP79/Pile_Input!$B$11</x:f>
      </x:c>
      <x:c r="AR79" s="20" t="n">
        <x:f>0.25*Pile_Input!$B$4*10</x:f>
        <x:v>875</x:v>
      </x:c>
      <x:c r="AS79" s="20" t="n">
        <x:f>Pile_Input!$B$7*AR79</x:f>
        <x:v>1649.3361431346414</x:v>
      </x:c>
    </x:row>
    <x:row r="80">
      <x:c r="A80" s="20" t="n">
        <x:f>Layer_Input!A80</x:f>
        <x:v>0</x:v>
      </x:c>
      <x:c r="B80" s="20" t="n">
        <x:f>Layer_Input!B80</x:f>
        <x:v>0</x:v>
      </x:c>
      <x:c r="C80" s="20" t="n">
        <x:f>Layer_Input!C80</x:f>
        <x:v>0</x:v>
      </x:c>
      <x:c r="D80" s="20" t="n">
        <x:f>Layer_Input!D80</x:f>
        <x:v>0</x:v>
      </x:c>
      <x:c r="E80" s="20" t="n">
        <x:f>Layer_Input!E80</x:f>
        <x:v>0</x:v>
      </x:c>
      <x:c r="F80" s="20" t="n">
        <x:f>Layer_Input!F80</x:f>
        <x:v>0</x:v>
      </x:c>
      <x:c r="G80" s="20" t="n">
        <x:f>Layer_Input!G80</x:f>
        <x:v>0</x:v>
      </x:c>
      <x:c r="H80" s="20" t="n">
        <x:f>Layer_Input!H80</x:f>
        <x:v>0</x:v>
      </x:c>
      <x:c r="I80" s="20" t="n">
        <x:f>MAX(C80-B80,0)</x:f>
        <x:v>0</x:v>
      </x:c>
      <x:c r="J80" s="20" t="n">
        <x:f>MAX(IF(B80&lt;Pile_Input!$B$9,D80,D80-Pile_Input!$B$10),0)</x:f>
        <x:v>0</x:v>
      </x:c>
      <x:c r="K80" s="20" t="n">
        <x:f>J80*I80</x:f>
        <x:v>0</x:v>
      </x:c>
      <x:c r="L80" s="20" t="str">
        <x:f>IF(B80="","",SUM($K$2:K80))</x:f>
      </x:c>
      <x:c r="M80" s="20" t="str">
        <x:f>IF(B80="","",L80-K80/2)</x:f>
      </x:c>
      <x:c r="N80" s="20" t="n">
        <x:f>IF(ISNUMBER(H80),0.52*H80,"")</x:f>
        <x:v>0</x:v>
      </x:c>
      <x:c r="O80" s="20" t="n">
        <x:f>IF(E80="C",AVERAGE(G80,N80),0)</x:f>
        <x:v>0</x:v>
      </x:c>
      <x:c r="P80" s="20" t="n">
        <x:f>IF(E80="C",0.93*EXP(-0.0536*O80),0)</x:f>
        <x:v>0</x:v>
      </x:c>
      <x:c r="Q80" s="20" t="n">
        <x:f>IF(E80="S",0.77*LOG10(20*95.76/MAX(M80*9.81,0.0001)),0)</x:f>
        <x:v>0</x:v>
      </x:c>
      <x:c r="R80" s="20" t="n">
        <x:f>Q80*H80</x:f>
        <x:v>0</x:v>
      </x:c>
      <x:c r="S80" s="20" t="n">
        <x:f>IF(E80="S",27.1+0.3*R80-0.00054*R80^2,0)</x:f>
        <x:v>0</x:v>
      </x:c>
      <x:c r="T80" s="20" t="n">
        <x:f>IF(E80="S",1-SIN(RADIANS(S80)),0)</x:f>
        <x:v>0</x:v>
      </x:c>
      <x:c r="U80" s="20" t="n">
        <x:f>1.5*T80</x:f>
        <x:v>0</x:v>
      </x:c>
      <x:c r="V80" s="20" t="n">
        <x:f>0.85*T80</x:f>
        <x:v>0</x:v>
      </x:c>
      <x:c r="W80" s="20" t="n">
        <x:f>IF(Pile_Input!$B$5&gt;1.5,U80,V80)</x:f>
        <x:v>0</x:v>
      </x:c>
      <x:c r="X80" s="20" t="n">
        <x:f>0.75*S80</x:f>
        <x:v>0</x:v>
      </x:c>
      <x:c r="Y80" s="20" t="n">
        <x:f>IF(E80="S",W80*TAN(RADIANS(X80)),0)</x:f>
        <x:v>0</x:v>
      </x:c>
      <x:c r="Z80" s="20" t="n">
        <x:f>P80*O80</x:f>
        <x:v>0</x:v>
      </x:c>
      <x:c r="AA80" s="20" t="n">
        <x:f>Y80*M80</x:f>
        <x:v>0</x:v>
      </x:c>
      <x:c r="AB80" s="20" t="n">
        <x:f>IF(E80="C",Z80,IF(E80="S",AA80,0))</x:f>
        <x:v>0</x:v>
      </x:c>
      <x:c r="AC80" s="20" t="n">
        <x:f>IF(B80&lt;Pile_Input!$B$8,0,MAX(AB80,0))</x:f>
        <x:v>0</x:v>
      </x:c>
      <x:c r="AD80" s="20" t="n">
        <x:f>Pile_Input!$B$7*I80</x:f>
        <x:v>0</x:v>
      </x:c>
      <x:c r="AE80" s="20" t="n">
        <x:f>AC80*AD80</x:f>
        <x:v>0</x:v>
      </x:c>
      <x:c r="AF80" s="20" t="n">
        <x:f>SUM($AE$2:AE80)</x:f>
        <x:v>2.417753626718237</x:v>
      </x:c>
      <x:c r="AG80" s="20" t="n">
        <x:f>IF(E80="S",EXP(PI()*TAN(RADIANS(S80)))*TAN(RADIANS(45+S80/2))^2*(1+TAN(RADIANS(S80))),0)</x:f>
        <x:v>0</x:v>
      </x:c>
      <x:c r="AH80" s="20" t="n">
        <x:f>IF(E80="S",0.6934*EXP(0.0974*S80),0)</x:f>
        <x:v>0</x:v>
      </x:c>
      <x:c r="AI80" s="20" t="n">
        <x:f>IF(Pile_Input!$B$5&gt;1.5,AG80,AH80)</x:f>
        <x:v>0</x:v>
      </x:c>
      <x:c r="AJ80" s="20" t="n">
        <x:f>IF(E80="S",2*(AI80+1)*TAN(RADIANS(S80)),0)</x:f>
        <x:v>0</x:v>
      </x:c>
      <x:c r="AK80" s="20" t="n">
        <x:f>MIN(9*O80,Pile_Input!$B$12)</x:f>
        <x:v>0</x:v>
      </x:c>
      <x:c r="AL80" s="20" t="n">
        <x:f>MIN((AI80-1)*L80,Pile_Input!$B$12)</x:f>
        <x:v>0</x:v>
      </x:c>
      <x:c r="AM80" s="20" t="n">
        <x:f>IF(E80="C",AK80,IF(E80="S",AL80,0))</x:f>
        <x:v>0</x:v>
      </x:c>
      <x:c r="AN80" s="20" t="e">
        <x:f>AVERAGE(INDEX($AM:$AM,MAX(2,ROW()-1)):INDEX($AM:$AM,MIN(101,ROW()+2)))</x:f>
      </x:c>
      <x:c r="AO80" s="20" t="e">
        <x:f>AN80*Pile_Input!$B$7</x:f>
      </x:c>
      <x:c r="AP80" s="20" t="e">
        <x:f>AF80+AO80</x:f>
      </x:c>
      <x:c r="AQ80" s="20" t="e">
        <x:f>AP80/Pile_Input!$B$11</x:f>
      </x:c>
      <x:c r="AR80" s="20" t="n">
        <x:f>0.25*Pile_Input!$B$4*10</x:f>
        <x:v>875</x:v>
      </x:c>
      <x:c r="AS80" s="20" t="n">
        <x:f>Pile_Input!$B$7*AR80</x:f>
        <x:v>1649.3361431346414</x:v>
      </x:c>
    </x:row>
    <x:row r="81">
      <x:c r="A81" s="20" t="n">
        <x:f>Layer_Input!A81</x:f>
        <x:v>0</x:v>
      </x:c>
      <x:c r="B81" s="20" t="n">
        <x:f>Layer_Input!B81</x:f>
        <x:v>0</x:v>
      </x:c>
      <x:c r="C81" s="20" t="n">
        <x:f>Layer_Input!C81</x:f>
        <x:v>0</x:v>
      </x:c>
      <x:c r="D81" s="20" t="n">
        <x:f>Layer_Input!D81</x:f>
        <x:v>0</x:v>
      </x:c>
      <x:c r="E81" s="20" t="n">
        <x:f>Layer_Input!E81</x:f>
        <x:v>0</x:v>
      </x:c>
      <x:c r="F81" s="20" t="n">
        <x:f>Layer_Input!F81</x:f>
        <x:v>0</x:v>
      </x:c>
      <x:c r="G81" s="20" t="n">
        <x:f>Layer_Input!G81</x:f>
        <x:v>0</x:v>
      </x:c>
      <x:c r="H81" s="20" t="n">
        <x:f>Layer_Input!H81</x:f>
        <x:v>0</x:v>
      </x:c>
      <x:c r="I81" s="20" t="n">
        <x:f>MAX(C81-B81,0)</x:f>
        <x:v>0</x:v>
      </x:c>
      <x:c r="J81" s="20" t="n">
        <x:f>MAX(IF(B81&lt;Pile_Input!$B$9,D81,D81-Pile_Input!$B$10),0)</x:f>
        <x:v>0</x:v>
      </x:c>
      <x:c r="K81" s="20" t="n">
        <x:f>J81*I81</x:f>
        <x:v>0</x:v>
      </x:c>
      <x:c r="L81" s="20" t="str">
        <x:f>IF(B81="","",SUM($K$2:K81))</x:f>
      </x:c>
      <x:c r="M81" s="20" t="str">
        <x:f>IF(B81="","",L81-K81/2)</x:f>
      </x:c>
      <x:c r="N81" s="20" t="n">
        <x:f>IF(ISNUMBER(H81),0.52*H81,"")</x:f>
        <x:v>0</x:v>
      </x:c>
      <x:c r="O81" s="20" t="n">
        <x:f>IF(E81="C",AVERAGE(G81,N81),0)</x:f>
        <x:v>0</x:v>
      </x:c>
      <x:c r="P81" s="20" t="n">
        <x:f>IF(E81="C",0.93*EXP(-0.0536*O81),0)</x:f>
        <x:v>0</x:v>
      </x:c>
      <x:c r="Q81" s="20" t="n">
        <x:f>IF(E81="S",0.77*LOG10(20*95.76/MAX(M81*9.81,0.0001)),0)</x:f>
        <x:v>0</x:v>
      </x:c>
      <x:c r="R81" s="20" t="n">
        <x:f>Q81*H81</x:f>
        <x:v>0</x:v>
      </x:c>
      <x:c r="S81" s="20" t="n">
        <x:f>IF(E81="S",27.1+0.3*R81-0.00054*R81^2,0)</x:f>
        <x:v>0</x:v>
      </x:c>
      <x:c r="T81" s="20" t="n">
        <x:f>IF(E81="S",1-SIN(RADIANS(S81)),0)</x:f>
        <x:v>0</x:v>
      </x:c>
      <x:c r="U81" s="20" t="n">
        <x:f>1.5*T81</x:f>
        <x:v>0</x:v>
      </x:c>
      <x:c r="V81" s="20" t="n">
        <x:f>0.85*T81</x:f>
        <x:v>0</x:v>
      </x:c>
      <x:c r="W81" s="20" t="n">
        <x:f>IF(Pile_Input!$B$5&gt;1.5,U81,V81)</x:f>
        <x:v>0</x:v>
      </x:c>
      <x:c r="X81" s="20" t="n">
        <x:f>0.75*S81</x:f>
        <x:v>0</x:v>
      </x:c>
      <x:c r="Y81" s="20" t="n">
        <x:f>IF(E81="S",W81*TAN(RADIANS(X81)),0)</x:f>
        <x:v>0</x:v>
      </x:c>
      <x:c r="Z81" s="20" t="n">
        <x:f>P81*O81</x:f>
        <x:v>0</x:v>
      </x:c>
      <x:c r="AA81" s="20" t="n">
        <x:f>Y81*M81</x:f>
        <x:v>0</x:v>
      </x:c>
      <x:c r="AB81" s="20" t="n">
        <x:f>IF(E81="C",Z81,IF(E81="S",AA81,0))</x:f>
        <x:v>0</x:v>
      </x:c>
      <x:c r="AC81" s="20" t="n">
        <x:f>IF(B81&lt;Pile_Input!$B$8,0,MAX(AB81,0))</x:f>
        <x:v>0</x:v>
      </x:c>
      <x:c r="AD81" s="20" t="n">
        <x:f>Pile_Input!$B$7*I81</x:f>
        <x:v>0</x:v>
      </x:c>
      <x:c r="AE81" s="20" t="n">
        <x:f>AC81*AD81</x:f>
        <x:v>0</x:v>
      </x:c>
      <x:c r="AF81" s="20" t="n">
        <x:f>SUM($AE$2:AE81)</x:f>
        <x:v>2.417753626718237</x:v>
      </x:c>
      <x:c r="AG81" s="20" t="n">
        <x:f>IF(E81="S",EXP(PI()*TAN(RADIANS(S81)))*TAN(RADIANS(45+S81/2))^2*(1+TAN(RADIANS(S81))),0)</x:f>
        <x:v>0</x:v>
      </x:c>
      <x:c r="AH81" s="20" t="n">
        <x:f>IF(E81="S",0.6934*EXP(0.0974*S81),0)</x:f>
        <x:v>0</x:v>
      </x:c>
      <x:c r="AI81" s="20" t="n">
        <x:f>IF(Pile_Input!$B$5&gt;1.5,AG81,AH81)</x:f>
        <x:v>0</x:v>
      </x:c>
      <x:c r="AJ81" s="20" t="n">
        <x:f>IF(E81="S",2*(AI81+1)*TAN(RADIANS(S81)),0)</x:f>
        <x:v>0</x:v>
      </x:c>
      <x:c r="AK81" s="20" t="n">
        <x:f>MIN(9*O81,Pile_Input!$B$12)</x:f>
        <x:v>0</x:v>
      </x:c>
      <x:c r="AL81" s="20" t="n">
        <x:f>MIN((AI81-1)*L81,Pile_Input!$B$12)</x:f>
        <x:v>0</x:v>
      </x:c>
      <x:c r="AM81" s="20" t="n">
        <x:f>IF(E81="C",AK81,IF(E81="S",AL81,0))</x:f>
        <x:v>0</x:v>
      </x:c>
      <x:c r="AN81" s="20" t="e">
        <x:f>AVERAGE(INDEX($AM:$AM,MAX(2,ROW()-1)):INDEX($AM:$AM,MIN(101,ROW()+2)))</x:f>
      </x:c>
      <x:c r="AO81" s="20" t="e">
        <x:f>AN81*Pile_Input!$B$7</x:f>
      </x:c>
      <x:c r="AP81" s="20" t="e">
        <x:f>AF81+AO81</x:f>
      </x:c>
      <x:c r="AQ81" s="20" t="e">
        <x:f>AP81/Pile_Input!$B$11</x:f>
      </x:c>
      <x:c r="AR81" s="20" t="n">
        <x:f>0.25*Pile_Input!$B$4*10</x:f>
        <x:v>875</x:v>
      </x:c>
      <x:c r="AS81" s="20" t="n">
        <x:f>Pile_Input!$B$7*AR81</x:f>
        <x:v>1649.3361431346414</x:v>
      </x:c>
    </x:row>
    <x:row r="82">
      <x:c r="A82" s="20" t="n">
        <x:f>Layer_Input!A82</x:f>
        <x:v>0</x:v>
      </x:c>
      <x:c r="B82" s="20" t="n">
        <x:f>Layer_Input!B82</x:f>
        <x:v>0</x:v>
      </x:c>
      <x:c r="C82" s="20" t="n">
        <x:f>Layer_Input!C82</x:f>
        <x:v>0</x:v>
      </x:c>
      <x:c r="D82" s="20" t="n">
        <x:f>Layer_Input!D82</x:f>
        <x:v>0</x:v>
      </x:c>
      <x:c r="E82" s="20" t="n">
        <x:f>Layer_Input!E82</x:f>
        <x:v>0</x:v>
      </x:c>
      <x:c r="F82" s="20" t="n">
        <x:f>Layer_Input!F82</x:f>
        <x:v>0</x:v>
      </x:c>
      <x:c r="G82" s="20" t="n">
        <x:f>Layer_Input!G82</x:f>
        <x:v>0</x:v>
      </x:c>
      <x:c r="H82" s="20" t="n">
        <x:f>Layer_Input!H82</x:f>
        <x:v>0</x:v>
      </x:c>
      <x:c r="I82" s="20" t="n">
        <x:f>MAX(C82-B82,0)</x:f>
        <x:v>0</x:v>
      </x:c>
      <x:c r="J82" s="20" t="n">
        <x:f>MAX(IF(B82&lt;Pile_Input!$B$9,D82,D82-Pile_Input!$B$10),0)</x:f>
        <x:v>0</x:v>
      </x:c>
      <x:c r="K82" s="20" t="n">
        <x:f>J82*I82</x:f>
        <x:v>0</x:v>
      </x:c>
      <x:c r="L82" s="20" t="str">
        <x:f>IF(B82="","",SUM($K$2:K82))</x:f>
      </x:c>
      <x:c r="M82" s="20" t="str">
        <x:f>IF(B82="","",L82-K82/2)</x:f>
      </x:c>
      <x:c r="N82" s="20" t="n">
        <x:f>IF(ISNUMBER(H82),0.52*H82,"")</x:f>
        <x:v>0</x:v>
      </x:c>
      <x:c r="O82" s="20" t="n">
        <x:f>IF(E82="C",AVERAGE(G82,N82),0)</x:f>
        <x:v>0</x:v>
      </x:c>
      <x:c r="P82" s="20" t="n">
        <x:f>IF(E82="C",0.93*EXP(-0.0536*O82),0)</x:f>
        <x:v>0</x:v>
      </x:c>
      <x:c r="Q82" s="20" t="n">
        <x:f>IF(E82="S",0.77*LOG10(20*95.76/MAX(M82*9.81,0.0001)),0)</x:f>
        <x:v>0</x:v>
      </x:c>
      <x:c r="R82" s="20" t="n">
        <x:f>Q82*H82</x:f>
        <x:v>0</x:v>
      </x:c>
      <x:c r="S82" s="20" t="n">
        <x:f>IF(E82="S",27.1+0.3*R82-0.00054*R82^2,0)</x:f>
        <x:v>0</x:v>
      </x:c>
      <x:c r="T82" s="20" t="n">
        <x:f>IF(E82="S",1-SIN(RADIANS(S82)),0)</x:f>
        <x:v>0</x:v>
      </x:c>
      <x:c r="U82" s="20" t="n">
        <x:f>1.5*T82</x:f>
        <x:v>0</x:v>
      </x:c>
      <x:c r="V82" s="20" t="n">
        <x:f>0.85*T82</x:f>
        <x:v>0</x:v>
      </x:c>
      <x:c r="W82" s="20" t="n">
        <x:f>IF(Pile_Input!$B$5&gt;1.5,U82,V82)</x:f>
        <x:v>0</x:v>
      </x:c>
      <x:c r="X82" s="20" t="n">
        <x:f>0.75*S82</x:f>
        <x:v>0</x:v>
      </x:c>
      <x:c r="Y82" s="20" t="n">
        <x:f>IF(E82="S",W82*TAN(RADIANS(X82)),0)</x:f>
        <x:v>0</x:v>
      </x:c>
      <x:c r="Z82" s="20" t="n">
        <x:f>P82*O82</x:f>
        <x:v>0</x:v>
      </x:c>
      <x:c r="AA82" s="20" t="n">
        <x:f>Y82*M82</x:f>
        <x:v>0</x:v>
      </x:c>
      <x:c r="AB82" s="20" t="n">
        <x:f>IF(E82="C",Z82,IF(E82="S",AA82,0))</x:f>
        <x:v>0</x:v>
      </x:c>
      <x:c r="AC82" s="20" t="n">
        <x:f>IF(B82&lt;Pile_Input!$B$8,0,MAX(AB82,0))</x:f>
        <x:v>0</x:v>
      </x:c>
      <x:c r="AD82" s="20" t="n">
        <x:f>Pile_Input!$B$7*I82</x:f>
        <x:v>0</x:v>
      </x:c>
      <x:c r="AE82" s="20" t="n">
        <x:f>AC82*AD82</x:f>
        <x:v>0</x:v>
      </x:c>
      <x:c r="AF82" s="20" t="n">
        <x:f>SUM($AE$2:AE82)</x:f>
        <x:v>2.417753626718237</x:v>
      </x:c>
      <x:c r="AG82" s="20" t="n">
        <x:f>IF(E82="S",EXP(PI()*TAN(RADIANS(S82)))*TAN(RADIANS(45+S82/2))^2*(1+TAN(RADIANS(S82))),0)</x:f>
        <x:v>0</x:v>
      </x:c>
      <x:c r="AH82" s="20" t="n">
        <x:f>IF(E82="S",0.6934*EXP(0.0974*S82),0)</x:f>
        <x:v>0</x:v>
      </x:c>
      <x:c r="AI82" s="20" t="n">
        <x:f>IF(Pile_Input!$B$5&gt;1.5,AG82,AH82)</x:f>
        <x:v>0</x:v>
      </x:c>
      <x:c r="AJ82" s="20" t="n">
        <x:f>IF(E82="S",2*(AI82+1)*TAN(RADIANS(S82)),0)</x:f>
        <x:v>0</x:v>
      </x:c>
      <x:c r="AK82" s="20" t="n">
        <x:f>MIN(9*O82,Pile_Input!$B$12)</x:f>
        <x:v>0</x:v>
      </x:c>
      <x:c r="AL82" s="20" t="n">
        <x:f>MIN((AI82-1)*L82,Pile_Input!$B$12)</x:f>
        <x:v>0</x:v>
      </x:c>
      <x:c r="AM82" s="20" t="n">
        <x:f>IF(E82="C",AK82,IF(E82="S",AL82,0))</x:f>
        <x:v>0</x:v>
      </x:c>
      <x:c r="AN82" s="20" t="e">
        <x:f>AVERAGE(INDEX($AM:$AM,MAX(2,ROW()-1)):INDEX($AM:$AM,MIN(101,ROW()+2)))</x:f>
      </x:c>
      <x:c r="AO82" s="20" t="e">
        <x:f>AN82*Pile_Input!$B$7</x:f>
      </x:c>
      <x:c r="AP82" s="20" t="e">
        <x:f>AF82+AO82</x:f>
      </x:c>
      <x:c r="AQ82" s="20" t="e">
        <x:f>AP82/Pile_Input!$B$11</x:f>
      </x:c>
      <x:c r="AR82" s="20" t="n">
        <x:f>0.25*Pile_Input!$B$4*10</x:f>
        <x:v>875</x:v>
      </x:c>
      <x:c r="AS82" s="20" t="n">
        <x:f>Pile_Input!$B$7*AR82</x:f>
        <x:v>1649.3361431346414</x:v>
      </x:c>
    </x:row>
    <x:row r="83">
      <x:c r="A83" s="20" t="n">
        <x:f>Layer_Input!A83</x:f>
        <x:v>0</x:v>
      </x:c>
      <x:c r="B83" s="20" t="n">
        <x:f>Layer_Input!B83</x:f>
        <x:v>0</x:v>
      </x:c>
      <x:c r="C83" s="20" t="n">
        <x:f>Layer_Input!C83</x:f>
        <x:v>0</x:v>
      </x:c>
      <x:c r="D83" s="20" t="n">
        <x:f>Layer_Input!D83</x:f>
        <x:v>0</x:v>
      </x:c>
      <x:c r="E83" s="20" t="n">
        <x:f>Layer_Input!E83</x:f>
        <x:v>0</x:v>
      </x:c>
      <x:c r="F83" s="20" t="n">
        <x:f>Layer_Input!F83</x:f>
        <x:v>0</x:v>
      </x:c>
      <x:c r="G83" s="20" t="n">
        <x:f>Layer_Input!G83</x:f>
        <x:v>0</x:v>
      </x:c>
      <x:c r="H83" s="20" t="n">
        <x:f>Layer_Input!H83</x:f>
        <x:v>0</x:v>
      </x:c>
      <x:c r="I83" s="20" t="n">
        <x:f>MAX(C83-B83,0)</x:f>
        <x:v>0</x:v>
      </x:c>
      <x:c r="J83" s="20" t="n">
        <x:f>MAX(IF(B83&lt;Pile_Input!$B$9,D83,D83-Pile_Input!$B$10),0)</x:f>
        <x:v>0</x:v>
      </x:c>
      <x:c r="K83" s="20" t="n">
        <x:f>J83*I83</x:f>
        <x:v>0</x:v>
      </x:c>
      <x:c r="L83" s="20" t="str">
        <x:f>IF(B83="","",SUM($K$2:K83))</x:f>
      </x:c>
      <x:c r="M83" s="20" t="str">
        <x:f>IF(B83="","",L83-K83/2)</x:f>
      </x:c>
      <x:c r="N83" s="20" t="n">
        <x:f>IF(ISNUMBER(H83),0.52*H83,"")</x:f>
        <x:v>0</x:v>
      </x:c>
      <x:c r="O83" s="20" t="n">
        <x:f>IF(E83="C",AVERAGE(G83,N83),0)</x:f>
        <x:v>0</x:v>
      </x:c>
      <x:c r="P83" s="20" t="n">
        <x:f>IF(E83="C",0.93*EXP(-0.0536*O83),0)</x:f>
        <x:v>0</x:v>
      </x:c>
      <x:c r="Q83" s="20" t="n">
        <x:f>IF(E83="S",0.77*LOG10(20*95.76/MAX(M83*9.81,0.0001)),0)</x:f>
        <x:v>0</x:v>
      </x:c>
      <x:c r="R83" s="20" t="n">
        <x:f>Q83*H83</x:f>
        <x:v>0</x:v>
      </x:c>
      <x:c r="S83" s="20" t="n">
        <x:f>IF(E83="S",27.1+0.3*R83-0.00054*R83^2,0)</x:f>
        <x:v>0</x:v>
      </x:c>
      <x:c r="T83" s="20" t="n">
        <x:f>IF(E83="S",1-SIN(RADIANS(S83)),0)</x:f>
        <x:v>0</x:v>
      </x:c>
      <x:c r="U83" s="20" t="n">
        <x:f>1.5*T83</x:f>
        <x:v>0</x:v>
      </x:c>
      <x:c r="V83" s="20" t="n">
        <x:f>0.85*T83</x:f>
        <x:v>0</x:v>
      </x:c>
      <x:c r="W83" s="20" t="n">
        <x:f>IF(Pile_Input!$B$5&gt;1.5,U83,V83)</x:f>
        <x:v>0</x:v>
      </x:c>
      <x:c r="X83" s="20" t="n">
        <x:f>0.75*S83</x:f>
        <x:v>0</x:v>
      </x:c>
      <x:c r="Y83" s="20" t="n">
        <x:f>IF(E83="S",W83*TAN(RADIANS(X83)),0)</x:f>
        <x:v>0</x:v>
      </x:c>
      <x:c r="Z83" s="20" t="n">
        <x:f>P83*O83</x:f>
        <x:v>0</x:v>
      </x:c>
      <x:c r="AA83" s="20" t="n">
        <x:f>Y83*M83</x:f>
        <x:v>0</x:v>
      </x:c>
      <x:c r="AB83" s="20" t="n">
        <x:f>IF(E83="C",Z83,IF(E83="S",AA83,0))</x:f>
        <x:v>0</x:v>
      </x:c>
      <x:c r="AC83" s="20" t="n">
        <x:f>IF(B83&lt;Pile_Input!$B$8,0,MAX(AB83,0))</x:f>
        <x:v>0</x:v>
      </x:c>
      <x:c r="AD83" s="20" t="n">
        <x:f>Pile_Input!$B$7*I83</x:f>
        <x:v>0</x:v>
      </x:c>
      <x:c r="AE83" s="20" t="n">
        <x:f>AC83*AD83</x:f>
        <x:v>0</x:v>
      </x:c>
      <x:c r="AF83" s="20" t="n">
        <x:f>SUM($AE$2:AE83)</x:f>
        <x:v>2.417753626718237</x:v>
      </x:c>
      <x:c r="AG83" s="20" t="n">
        <x:f>IF(E83="S",EXP(PI()*TAN(RADIANS(S83)))*TAN(RADIANS(45+S83/2))^2*(1+TAN(RADIANS(S83))),0)</x:f>
        <x:v>0</x:v>
      </x:c>
      <x:c r="AH83" s="20" t="n">
        <x:f>IF(E83="S",0.6934*EXP(0.0974*S83),0)</x:f>
        <x:v>0</x:v>
      </x:c>
      <x:c r="AI83" s="20" t="n">
        <x:f>IF(Pile_Input!$B$5&gt;1.5,AG83,AH83)</x:f>
        <x:v>0</x:v>
      </x:c>
      <x:c r="AJ83" s="20" t="n">
        <x:f>IF(E83="S",2*(AI83+1)*TAN(RADIANS(S83)),0)</x:f>
        <x:v>0</x:v>
      </x:c>
      <x:c r="AK83" s="20" t="n">
        <x:f>MIN(9*O83,Pile_Input!$B$12)</x:f>
        <x:v>0</x:v>
      </x:c>
      <x:c r="AL83" s="20" t="n">
        <x:f>MIN((AI83-1)*L83,Pile_Input!$B$12)</x:f>
        <x:v>0</x:v>
      </x:c>
      <x:c r="AM83" s="20" t="n">
        <x:f>IF(E83="C",AK83,IF(E83="S",AL83,0))</x:f>
        <x:v>0</x:v>
      </x:c>
      <x:c r="AN83" s="20" t="e">
        <x:f>AVERAGE(INDEX($AM:$AM,MAX(2,ROW()-1)):INDEX($AM:$AM,MIN(101,ROW()+2)))</x:f>
      </x:c>
      <x:c r="AO83" s="20" t="e">
        <x:f>AN83*Pile_Input!$B$7</x:f>
      </x:c>
      <x:c r="AP83" s="20" t="e">
        <x:f>AF83+AO83</x:f>
      </x:c>
      <x:c r="AQ83" s="20" t="e">
        <x:f>AP83/Pile_Input!$B$11</x:f>
      </x:c>
      <x:c r="AR83" s="20" t="n">
        <x:f>0.25*Pile_Input!$B$4*10</x:f>
        <x:v>875</x:v>
      </x:c>
      <x:c r="AS83" s="20" t="n">
        <x:f>Pile_Input!$B$7*AR83</x:f>
        <x:v>1649.3361431346414</x:v>
      </x:c>
    </x:row>
    <x:row r="84">
      <x:c r="A84" s="20" t="n">
        <x:f>Layer_Input!A84</x:f>
        <x:v>0</x:v>
      </x:c>
      <x:c r="B84" s="20" t="n">
        <x:f>Layer_Input!B84</x:f>
        <x:v>0</x:v>
      </x:c>
      <x:c r="C84" s="20" t="n">
        <x:f>Layer_Input!C84</x:f>
        <x:v>0</x:v>
      </x:c>
      <x:c r="D84" s="20" t="n">
        <x:f>Layer_Input!D84</x:f>
        <x:v>0</x:v>
      </x:c>
      <x:c r="E84" s="20" t="n">
        <x:f>Layer_Input!E84</x:f>
        <x:v>0</x:v>
      </x:c>
      <x:c r="F84" s="20" t="n">
        <x:f>Layer_Input!F84</x:f>
        <x:v>0</x:v>
      </x:c>
      <x:c r="G84" s="20" t="n">
        <x:f>Layer_Input!G84</x:f>
        <x:v>0</x:v>
      </x:c>
      <x:c r="H84" s="20" t="n">
        <x:f>Layer_Input!H84</x:f>
        <x:v>0</x:v>
      </x:c>
      <x:c r="I84" s="20" t="n">
        <x:f>MAX(C84-B84,0)</x:f>
        <x:v>0</x:v>
      </x:c>
      <x:c r="J84" s="20" t="n">
        <x:f>MAX(IF(B84&lt;Pile_Input!$B$9,D84,D84-Pile_Input!$B$10),0)</x:f>
        <x:v>0</x:v>
      </x:c>
      <x:c r="K84" s="20" t="n">
        <x:f>J84*I84</x:f>
        <x:v>0</x:v>
      </x:c>
      <x:c r="L84" s="20" t="str">
        <x:f>IF(B84="","",SUM($K$2:K84))</x:f>
      </x:c>
      <x:c r="M84" s="20" t="str">
        <x:f>IF(B84="","",L84-K84/2)</x:f>
      </x:c>
      <x:c r="N84" s="20" t="n">
        <x:f>IF(ISNUMBER(H84),0.52*H84,"")</x:f>
        <x:v>0</x:v>
      </x:c>
      <x:c r="O84" s="20" t="n">
        <x:f>IF(E84="C",AVERAGE(G84,N84),0)</x:f>
        <x:v>0</x:v>
      </x:c>
      <x:c r="P84" s="20" t="n">
        <x:f>IF(E84="C",0.93*EXP(-0.0536*O84),0)</x:f>
        <x:v>0</x:v>
      </x:c>
      <x:c r="Q84" s="20" t="n">
        <x:f>IF(E84="S",0.77*LOG10(20*95.76/MAX(M84*9.81,0.0001)),0)</x:f>
        <x:v>0</x:v>
      </x:c>
      <x:c r="R84" s="20" t="n">
        <x:f>Q84*H84</x:f>
        <x:v>0</x:v>
      </x:c>
      <x:c r="S84" s="20" t="n">
        <x:f>IF(E84="S",27.1+0.3*R84-0.00054*R84^2,0)</x:f>
        <x:v>0</x:v>
      </x:c>
      <x:c r="T84" s="20" t="n">
        <x:f>IF(E84="S",1-SIN(RADIANS(S84)),0)</x:f>
        <x:v>0</x:v>
      </x:c>
      <x:c r="U84" s="20" t="n">
        <x:f>1.5*T84</x:f>
        <x:v>0</x:v>
      </x:c>
      <x:c r="V84" s="20" t="n">
        <x:f>0.85*T84</x:f>
        <x:v>0</x:v>
      </x:c>
      <x:c r="W84" s="20" t="n">
        <x:f>IF(Pile_Input!$B$5&gt;1.5,U84,V84)</x:f>
        <x:v>0</x:v>
      </x:c>
      <x:c r="X84" s="20" t="n">
        <x:f>0.75*S84</x:f>
        <x:v>0</x:v>
      </x:c>
      <x:c r="Y84" s="20" t="n">
        <x:f>IF(E84="S",W84*TAN(RADIANS(X84)),0)</x:f>
        <x:v>0</x:v>
      </x:c>
      <x:c r="Z84" s="20" t="n">
        <x:f>P84*O84</x:f>
        <x:v>0</x:v>
      </x:c>
      <x:c r="AA84" s="20" t="n">
        <x:f>Y84*M84</x:f>
        <x:v>0</x:v>
      </x:c>
      <x:c r="AB84" s="20" t="n">
        <x:f>IF(E84="C",Z84,IF(E84="S",AA84,0))</x:f>
        <x:v>0</x:v>
      </x:c>
      <x:c r="AC84" s="20" t="n">
        <x:f>IF(B84&lt;Pile_Input!$B$8,0,MAX(AB84,0))</x:f>
        <x:v>0</x:v>
      </x:c>
      <x:c r="AD84" s="20" t="n">
        <x:f>Pile_Input!$B$7*I84</x:f>
        <x:v>0</x:v>
      </x:c>
      <x:c r="AE84" s="20" t="n">
        <x:f>AC84*AD84</x:f>
        <x:v>0</x:v>
      </x:c>
      <x:c r="AF84" s="20" t="n">
        <x:f>SUM($AE$2:AE84)</x:f>
        <x:v>2.417753626718237</x:v>
      </x:c>
      <x:c r="AG84" s="20" t="n">
        <x:f>IF(E84="S",EXP(PI()*TAN(RADIANS(S84)))*TAN(RADIANS(45+S84/2))^2*(1+TAN(RADIANS(S84))),0)</x:f>
        <x:v>0</x:v>
      </x:c>
      <x:c r="AH84" s="20" t="n">
        <x:f>IF(E84="S",0.6934*EXP(0.0974*S84),0)</x:f>
        <x:v>0</x:v>
      </x:c>
      <x:c r="AI84" s="20" t="n">
        <x:f>IF(Pile_Input!$B$5&gt;1.5,AG84,AH84)</x:f>
        <x:v>0</x:v>
      </x:c>
      <x:c r="AJ84" s="20" t="n">
        <x:f>IF(E84="S",2*(AI84+1)*TAN(RADIANS(S84)),0)</x:f>
        <x:v>0</x:v>
      </x:c>
      <x:c r="AK84" s="20" t="n">
        <x:f>MIN(9*O84,Pile_Input!$B$12)</x:f>
        <x:v>0</x:v>
      </x:c>
      <x:c r="AL84" s="20" t="n">
        <x:f>MIN((AI84-1)*L84,Pile_Input!$B$12)</x:f>
        <x:v>0</x:v>
      </x:c>
      <x:c r="AM84" s="20" t="n">
        <x:f>IF(E84="C",AK84,IF(E84="S",AL84,0))</x:f>
        <x:v>0</x:v>
      </x:c>
      <x:c r="AN84" s="20" t="e">
        <x:f>AVERAGE(INDEX($AM:$AM,MAX(2,ROW()-1)):INDEX($AM:$AM,MIN(101,ROW()+2)))</x:f>
      </x:c>
      <x:c r="AO84" s="20" t="e">
        <x:f>AN84*Pile_Input!$B$7</x:f>
      </x:c>
      <x:c r="AP84" s="20" t="e">
        <x:f>AF84+AO84</x:f>
      </x:c>
      <x:c r="AQ84" s="20" t="e">
        <x:f>AP84/Pile_Input!$B$11</x:f>
      </x:c>
      <x:c r="AR84" s="20" t="n">
        <x:f>0.25*Pile_Input!$B$4*10</x:f>
        <x:v>875</x:v>
      </x:c>
      <x:c r="AS84" s="20" t="n">
        <x:f>Pile_Input!$B$7*AR84</x:f>
        <x:v>1649.3361431346414</x:v>
      </x:c>
    </x:row>
    <x:row r="85">
      <x:c r="A85" s="20" t="n">
        <x:f>Layer_Input!A85</x:f>
        <x:v>0</x:v>
      </x:c>
      <x:c r="B85" s="20" t="n">
        <x:f>Layer_Input!B85</x:f>
        <x:v>0</x:v>
      </x:c>
      <x:c r="C85" s="20" t="n">
        <x:f>Layer_Input!C85</x:f>
        <x:v>0</x:v>
      </x:c>
      <x:c r="D85" s="20" t="n">
        <x:f>Layer_Input!D85</x:f>
        <x:v>0</x:v>
      </x:c>
      <x:c r="E85" s="20" t="n">
        <x:f>Layer_Input!E85</x:f>
        <x:v>0</x:v>
      </x:c>
      <x:c r="F85" s="20" t="n">
        <x:f>Layer_Input!F85</x:f>
        <x:v>0</x:v>
      </x:c>
      <x:c r="G85" s="20" t="n">
        <x:f>Layer_Input!G85</x:f>
        <x:v>0</x:v>
      </x:c>
      <x:c r="H85" s="20" t="n">
        <x:f>Layer_Input!H85</x:f>
        <x:v>0</x:v>
      </x:c>
      <x:c r="I85" s="20" t="n">
        <x:f>MAX(C85-B85,0)</x:f>
        <x:v>0</x:v>
      </x:c>
      <x:c r="J85" s="20" t="n">
        <x:f>MAX(IF(B85&lt;Pile_Input!$B$9,D85,D85-Pile_Input!$B$10),0)</x:f>
        <x:v>0</x:v>
      </x:c>
      <x:c r="K85" s="20" t="n">
        <x:f>J85*I85</x:f>
        <x:v>0</x:v>
      </x:c>
      <x:c r="L85" s="20" t="str">
        <x:f>IF(B85="","",SUM($K$2:K85))</x:f>
      </x:c>
      <x:c r="M85" s="20" t="str">
        <x:f>IF(B85="","",L85-K85/2)</x:f>
      </x:c>
      <x:c r="N85" s="20" t="n">
        <x:f>IF(ISNUMBER(H85),0.52*H85,"")</x:f>
        <x:v>0</x:v>
      </x:c>
      <x:c r="O85" s="20" t="n">
        <x:f>IF(E85="C",AVERAGE(G85,N85),0)</x:f>
        <x:v>0</x:v>
      </x:c>
      <x:c r="P85" s="20" t="n">
        <x:f>IF(E85="C",0.93*EXP(-0.0536*O85),0)</x:f>
        <x:v>0</x:v>
      </x:c>
      <x:c r="Q85" s="20" t="n">
        <x:f>IF(E85="S",0.77*LOG10(20*95.76/MAX(M85*9.81,0.0001)),0)</x:f>
        <x:v>0</x:v>
      </x:c>
      <x:c r="R85" s="20" t="n">
        <x:f>Q85*H85</x:f>
        <x:v>0</x:v>
      </x:c>
      <x:c r="S85" s="20" t="n">
        <x:f>IF(E85="S",27.1+0.3*R85-0.00054*R85^2,0)</x:f>
        <x:v>0</x:v>
      </x:c>
      <x:c r="T85" s="20" t="n">
        <x:f>IF(E85="S",1-SIN(RADIANS(S85)),0)</x:f>
        <x:v>0</x:v>
      </x:c>
      <x:c r="U85" s="20" t="n">
        <x:f>1.5*T85</x:f>
        <x:v>0</x:v>
      </x:c>
      <x:c r="V85" s="20" t="n">
        <x:f>0.85*T85</x:f>
        <x:v>0</x:v>
      </x:c>
      <x:c r="W85" s="20" t="n">
        <x:f>IF(Pile_Input!$B$5&gt;1.5,U85,V85)</x:f>
        <x:v>0</x:v>
      </x:c>
      <x:c r="X85" s="20" t="n">
        <x:f>0.75*S85</x:f>
        <x:v>0</x:v>
      </x:c>
      <x:c r="Y85" s="20" t="n">
        <x:f>IF(E85="S",W85*TAN(RADIANS(X85)),0)</x:f>
        <x:v>0</x:v>
      </x:c>
      <x:c r="Z85" s="20" t="n">
        <x:f>P85*O85</x:f>
        <x:v>0</x:v>
      </x:c>
      <x:c r="AA85" s="20" t="n">
        <x:f>Y85*M85</x:f>
        <x:v>0</x:v>
      </x:c>
      <x:c r="AB85" s="20" t="n">
        <x:f>IF(E85="C",Z85,IF(E85="S",AA85,0))</x:f>
        <x:v>0</x:v>
      </x:c>
      <x:c r="AC85" s="20" t="n">
        <x:f>IF(B85&lt;Pile_Input!$B$8,0,MAX(AB85,0))</x:f>
        <x:v>0</x:v>
      </x:c>
      <x:c r="AD85" s="20" t="n">
        <x:f>Pile_Input!$B$7*I85</x:f>
        <x:v>0</x:v>
      </x:c>
      <x:c r="AE85" s="20" t="n">
        <x:f>AC85*AD85</x:f>
        <x:v>0</x:v>
      </x:c>
      <x:c r="AF85" s="20" t="n">
        <x:f>SUM($AE$2:AE85)</x:f>
        <x:v>2.417753626718237</x:v>
      </x:c>
      <x:c r="AG85" s="20" t="n">
        <x:f>IF(E85="S",EXP(PI()*TAN(RADIANS(S85)))*TAN(RADIANS(45+S85/2))^2*(1+TAN(RADIANS(S85))),0)</x:f>
        <x:v>0</x:v>
      </x:c>
      <x:c r="AH85" s="20" t="n">
        <x:f>IF(E85="S",0.6934*EXP(0.0974*S85),0)</x:f>
        <x:v>0</x:v>
      </x:c>
      <x:c r="AI85" s="20" t="n">
        <x:f>IF(Pile_Input!$B$5&gt;1.5,AG85,AH85)</x:f>
        <x:v>0</x:v>
      </x:c>
      <x:c r="AJ85" s="20" t="n">
        <x:f>IF(E85="S",2*(AI85+1)*TAN(RADIANS(S85)),0)</x:f>
        <x:v>0</x:v>
      </x:c>
      <x:c r="AK85" s="20" t="n">
        <x:f>MIN(9*O85,Pile_Input!$B$12)</x:f>
        <x:v>0</x:v>
      </x:c>
      <x:c r="AL85" s="20" t="n">
        <x:f>MIN((AI85-1)*L85,Pile_Input!$B$12)</x:f>
        <x:v>0</x:v>
      </x:c>
      <x:c r="AM85" s="20" t="n">
        <x:f>IF(E85="C",AK85,IF(E85="S",AL85,0))</x:f>
        <x:v>0</x:v>
      </x:c>
      <x:c r="AN85" s="20" t="e">
        <x:f>AVERAGE(INDEX($AM:$AM,MAX(2,ROW()-1)):INDEX($AM:$AM,MIN(101,ROW()+2)))</x:f>
      </x:c>
      <x:c r="AO85" s="20" t="e">
        <x:f>AN85*Pile_Input!$B$7</x:f>
      </x:c>
      <x:c r="AP85" s="20" t="e">
        <x:f>AF85+AO85</x:f>
      </x:c>
      <x:c r="AQ85" s="20" t="e">
        <x:f>AP85/Pile_Input!$B$11</x:f>
      </x:c>
      <x:c r="AR85" s="20" t="n">
        <x:f>0.25*Pile_Input!$B$4*10</x:f>
        <x:v>875</x:v>
      </x:c>
      <x:c r="AS85" s="20" t="n">
        <x:f>Pile_Input!$B$7*AR85</x:f>
        <x:v>1649.3361431346414</x:v>
      </x:c>
    </x:row>
    <x:row r="86">
      <x:c r="A86" s="20" t="n">
        <x:f>Layer_Input!A86</x:f>
        <x:v>0</x:v>
      </x:c>
      <x:c r="B86" s="20" t="n">
        <x:f>Layer_Input!B86</x:f>
        <x:v>0</x:v>
      </x:c>
      <x:c r="C86" s="20" t="n">
        <x:f>Layer_Input!C86</x:f>
        <x:v>0</x:v>
      </x:c>
      <x:c r="D86" s="20" t="n">
        <x:f>Layer_Input!D86</x:f>
        <x:v>0</x:v>
      </x:c>
      <x:c r="E86" s="20" t="n">
        <x:f>Layer_Input!E86</x:f>
        <x:v>0</x:v>
      </x:c>
      <x:c r="F86" s="20" t="n">
        <x:f>Layer_Input!F86</x:f>
        <x:v>0</x:v>
      </x:c>
      <x:c r="G86" s="20" t="n">
        <x:f>Layer_Input!G86</x:f>
        <x:v>0</x:v>
      </x:c>
      <x:c r="H86" s="20" t="n">
        <x:f>Layer_Input!H86</x:f>
        <x:v>0</x:v>
      </x:c>
      <x:c r="I86" s="20" t="n">
        <x:f>MAX(C86-B86,0)</x:f>
        <x:v>0</x:v>
      </x:c>
      <x:c r="J86" s="20" t="n">
        <x:f>MAX(IF(B86&lt;Pile_Input!$B$9,D86,D86-Pile_Input!$B$10),0)</x:f>
        <x:v>0</x:v>
      </x:c>
      <x:c r="K86" s="20" t="n">
        <x:f>J86*I86</x:f>
        <x:v>0</x:v>
      </x:c>
      <x:c r="L86" s="20" t="str">
        <x:f>IF(B86="","",SUM($K$2:K86))</x:f>
      </x:c>
      <x:c r="M86" s="20" t="str">
        <x:f>IF(B86="","",L86-K86/2)</x:f>
      </x:c>
      <x:c r="N86" s="20" t="n">
        <x:f>IF(ISNUMBER(H86),0.52*H86,"")</x:f>
        <x:v>0</x:v>
      </x:c>
      <x:c r="O86" s="20" t="n">
        <x:f>IF(E86="C",AVERAGE(G86,N86),0)</x:f>
        <x:v>0</x:v>
      </x:c>
      <x:c r="P86" s="20" t="n">
        <x:f>IF(E86="C",0.93*EXP(-0.0536*O86),0)</x:f>
        <x:v>0</x:v>
      </x:c>
      <x:c r="Q86" s="20" t="n">
        <x:f>IF(E86="S",0.77*LOG10(20*95.76/MAX(M86*9.81,0.0001)),0)</x:f>
        <x:v>0</x:v>
      </x:c>
      <x:c r="R86" s="20" t="n">
        <x:f>Q86*H86</x:f>
        <x:v>0</x:v>
      </x:c>
      <x:c r="S86" s="20" t="n">
        <x:f>IF(E86="S",27.1+0.3*R86-0.00054*R86^2,0)</x:f>
        <x:v>0</x:v>
      </x:c>
      <x:c r="T86" s="20" t="n">
        <x:f>IF(E86="S",1-SIN(RADIANS(S86)),0)</x:f>
        <x:v>0</x:v>
      </x:c>
      <x:c r="U86" s="20" t="n">
        <x:f>1.5*T86</x:f>
        <x:v>0</x:v>
      </x:c>
      <x:c r="V86" s="20" t="n">
        <x:f>0.85*T86</x:f>
        <x:v>0</x:v>
      </x:c>
      <x:c r="W86" s="20" t="n">
        <x:f>IF(Pile_Input!$B$5&gt;1.5,U86,V86)</x:f>
        <x:v>0</x:v>
      </x:c>
      <x:c r="X86" s="20" t="n">
        <x:f>0.75*S86</x:f>
        <x:v>0</x:v>
      </x:c>
      <x:c r="Y86" s="20" t="n">
        <x:f>IF(E86="S",W86*TAN(RADIANS(X86)),0)</x:f>
        <x:v>0</x:v>
      </x:c>
      <x:c r="Z86" s="20" t="n">
        <x:f>P86*O86</x:f>
        <x:v>0</x:v>
      </x:c>
      <x:c r="AA86" s="20" t="n">
        <x:f>Y86*M86</x:f>
        <x:v>0</x:v>
      </x:c>
      <x:c r="AB86" s="20" t="n">
        <x:f>IF(E86="C",Z86,IF(E86="S",AA86,0))</x:f>
        <x:v>0</x:v>
      </x:c>
      <x:c r="AC86" s="20" t="n">
        <x:f>IF(B86&lt;Pile_Input!$B$8,0,MAX(AB86,0))</x:f>
        <x:v>0</x:v>
      </x:c>
      <x:c r="AD86" s="20" t="n">
        <x:f>Pile_Input!$B$7*I86</x:f>
        <x:v>0</x:v>
      </x:c>
      <x:c r="AE86" s="20" t="n">
        <x:f>AC86*AD86</x:f>
        <x:v>0</x:v>
      </x:c>
      <x:c r="AF86" s="20" t="n">
        <x:f>SUM($AE$2:AE86)</x:f>
        <x:v>2.417753626718237</x:v>
      </x:c>
      <x:c r="AG86" s="20" t="n">
        <x:f>IF(E86="S",EXP(PI()*TAN(RADIANS(S86)))*TAN(RADIANS(45+S86/2))^2*(1+TAN(RADIANS(S86))),0)</x:f>
        <x:v>0</x:v>
      </x:c>
      <x:c r="AH86" s="20" t="n">
        <x:f>IF(E86="S",0.6934*EXP(0.0974*S86),0)</x:f>
        <x:v>0</x:v>
      </x:c>
      <x:c r="AI86" s="20" t="n">
        <x:f>IF(Pile_Input!$B$5&gt;1.5,AG86,AH86)</x:f>
        <x:v>0</x:v>
      </x:c>
      <x:c r="AJ86" s="20" t="n">
        <x:f>IF(E86="S",2*(AI86+1)*TAN(RADIANS(S86)),0)</x:f>
        <x:v>0</x:v>
      </x:c>
      <x:c r="AK86" s="20" t="n">
        <x:f>MIN(9*O86,Pile_Input!$B$12)</x:f>
        <x:v>0</x:v>
      </x:c>
      <x:c r="AL86" s="20" t="n">
        <x:f>MIN((AI86-1)*L86,Pile_Input!$B$12)</x:f>
        <x:v>0</x:v>
      </x:c>
      <x:c r="AM86" s="20" t="n">
        <x:f>IF(E86="C",AK86,IF(E86="S",AL86,0))</x:f>
        <x:v>0</x:v>
      </x:c>
      <x:c r="AN86" s="20" t="e">
        <x:f>AVERAGE(INDEX($AM:$AM,MAX(2,ROW()-1)):INDEX($AM:$AM,MIN(101,ROW()+2)))</x:f>
      </x:c>
      <x:c r="AO86" s="20" t="e">
        <x:f>AN86*Pile_Input!$B$7</x:f>
      </x:c>
      <x:c r="AP86" s="20" t="e">
        <x:f>AF86+AO86</x:f>
      </x:c>
      <x:c r="AQ86" s="20" t="e">
        <x:f>AP86/Pile_Input!$B$11</x:f>
      </x:c>
      <x:c r="AR86" s="20" t="n">
        <x:f>0.25*Pile_Input!$B$4*10</x:f>
        <x:v>875</x:v>
      </x:c>
      <x:c r="AS86" s="20" t="n">
        <x:f>Pile_Input!$B$7*AR86</x:f>
        <x:v>1649.3361431346414</x:v>
      </x:c>
    </x:row>
    <x:row r="87">
      <x:c r="A87" s="20" t="n">
        <x:f>Layer_Input!A87</x:f>
        <x:v>0</x:v>
      </x:c>
      <x:c r="B87" s="20" t="n">
        <x:f>Layer_Input!B87</x:f>
        <x:v>0</x:v>
      </x:c>
      <x:c r="C87" s="20" t="n">
        <x:f>Layer_Input!C87</x:f>
        <x:v>0</x:v>
      </x:c>
      <x:c r="D87" s="20" t="n">
        <x:f>Layer_Input!D87</x:f>
        <x:v>0</x:v>
      </x:c>
      <x:c r="E87" s="20" t="n">
        <x:f>Layer_Input!E87</x:f>
        <x:v>0</x:v>
      </x:c>
      <x:c r="F87" s="20" t="n">
        <x:f>Layer_Input!F87</x:f>
        <x:v>0</x:v>
      </x:c>
      <x:c r="G87" s="20" t="n">
        <x:f>Layer_Input!G87</x:f>
        <x:v>0</x:v>
      </x:c>
      <x:c r="H87" s="20" t="n">
        <x:f>Layer_Input!H87</x:f>
        <x:v>0</x:v>
      </x:c>
      <x:c r="I87" s="20" t="n">
        <x:f>MAX(C87-B87,0)</x:f>
        <x:v>0</x:v>
      </x:c>
      <x:c r="J87" s="20" t="n">
        <x:f>MAX(IF(B87&lt;Pile_Input!$B$9,D87,D87-Pile_Input!$B$10),0)</x:f>
        <x:v>0</x:v>
      </x:c>
      <x:c r="K87" s="20" t="n">
        <x:f>J87*I87</x:f>
        <x:v>0</x:v>
      </x:c>
      <x:c r="L87" s="20" t="str">
        <x:f>IF(B87="","",SUM($K$2:K87))</x:f>
      </x:c>
      <x:c r="M87" s="20" t="str">
        <x:f>IF(B87="","",L87-K87/2)</x:f>
      </x:c>
      <x:c r="N87" s="20" t="n">
        <x:f>IF(ISNUMBER(H87),0.52*H87,"")</x:f>
        <x:v>0</x:v>
      </x:c>
      <x:c r="O87" s="20" t="n">
        <x:f>IF(E87="C",AVERAGE(G87,N87),0)</x:f>
        <x:v>0</x:v>
      </x:c>
      <x:c r="P87" s="20" t="n">
        <x:f>IF(E87="C",0.93*EXP(-0.0536*O87),0)</x:f>
        <x:v>0</x:v>
      </x:c>
      <x:c r="Q87" s="20" t="n">
        <x:f>IF(E87="S",0.77*LOG10(20*95.76/MAX(M87*9.81,0.0001)),0)</x:f>
        <x:v>0</x:v>
      </x:c>
      <x:c r="R87" s="20" t="n">
        <x:f>Q87*H87</x:f>
        <x:v>0</x:v>
      </x:c>
      <x:c r="S87" s="20" t="n">
        <x:f>IF(E87="S",27.1+0.3*R87-0.00054*R87^2,0)</x:f>
        <x:v>0</x:v>
      </x:c>
      <x:c r="T87" s="20" t="n">
        <x:f>IF(E87="S",1-SIN(RADIANS(S87)),0)</x:f>
        <x:v>0</x:v>
      </x:c>
      <x:c r="U87" s="20" t="n">
        <x:f>1.5*T87</x:f>
        <x:v>0</x:v>
      </x:c>
      <x:c r="V87" s="20" t="n">
        <x:f>0.85*T87</x:f>
        <x:v>0</x:v>
      </x:c>
      <x:c r="W87" s="20" t="n">
        <x:f>IF(Pile_Input!$B$5&gt;1.5,U87,V87)</x:f>
        <x:v>0</x:v>
      </x:c>
      <x:c r="X87" s="20" t="n">
        <x:f>0.75*S87</x:f>
        <x:v>0</x:v>
      </x:c>
      <x:c r="Y87" s="20" t="n">
        <x:f>IF(E87="S",W87*TAN(RADIANS(X87)),0)</x:f>
        <x:v>0</x:v>
      </x:c>
      <x:c r="Z87" s="20" t="n">
        <x:f>P87*O87</x:f>
        <x:v>0</x:v>
      </x:c>
      <x:c r="AA87" s="20" t="n">
        <x:f>Y87*M87</x:f>
        <x:v>0</x:v>
      </x:c>
      <x:c r="AB87" s="20" t="n">
        <x:f>IF(E87="C",Z87,IF(E87="S",AA87,0))</x:f>
        <x:v>0</x:v>
      </x:c>
      <x:c r="AC87" s="20" t="n">
        <x:f>IF(B87&lt;Pile_Input!$B$8,0,MAX(AB87,0))</x:f>
        <x:v>0</x:v>
      </x:c>
      <x:c r="AD87" s="20" t="n">
        <x:f>Pile_Input!$B$7*I87</x:f>
        <x:v>0</x:v>
      </x:c>
      <x:c r="AE87" s="20" t="n">
        <x:f>AC87*AD87</x:f>
        <x:v>0</x:v>
      </x:c>
      <x:c r="AF87" s="20" t="n">
        <x:f>SUM($AE$2:AE87)</x:f>
        <x:v>2.417753626718237</x:v>
      </x:c>
      <x:c r="AG87" s="20" t="n">
        <x:f>IF(E87="S",EXP(PI()*TAN(RADIANS(S87)))*TAN(RADIANS(45+S87/2))^2*(1+TAN(RADIANS(S87))),0)</x:f>
        <x:v>0</x:v>
      </x:c>
      <x:c r="AH87" s="20" t="n">
        <x:f>IF(E87="S",0.6934*EXP(0.0974*S87),0)</x:f>
        <x:v>0</x:v>
      </x:c>
      <x:c r="AI87" s="20" t="n">
        <x:f>IF(Pile_Input!$B$5&gt;1.5,AG87,AH87)</x:f>
        <x:v>0</x:v>
      </x:c>
      <x:c r="AJ87" s="20" t="n">
        <x:f>IF(E87="S",2*(AI87+1)*TAN(RADIANS(S87)),0)</x:f>
        <x:v>0</x:v>
      </x:c>
      <x:c r="AK87" s="20" t="n">
        <x:f>MIN(9*O87,Pile_Input!$B$12)</x:f>
        <x:v>0</x:v>
      </x:c>
      <x:c r="AL87" s="20" t="n">
        <x:f>MIN((AI87-1)*L87,Pile_Input!$B$12)</x:f>
        <x:v>0</x:v>
      </x:c>
      <x:c r="AM87" s="20" t="n">
        <x:f>IF(E87="C",AK87,IF(E87="S",AL87,0))</x:f>
        <x:v>0</x:v>
      </x:c>
      <x:c r="AN87" s="20" t="e">
        <x:f>AVERAGE(INDEX($AM:$AM,MAX(2,ROW()-1)):INDEX($AM:$AM,MIN(101,ROW()+2)))</x:f>
      </x:c>
      <x:c r="AO87" s="20" t="e">
        <x:f>AN87*Pile_Input!$B$7</x:f>
      </x:c>
      <x:c r="AP87" s="20" t="e">
        <x:f>AF87+AO87</x:f>
      </x:c>
      <x:c r="AQ87" s="20" t="e">
        <x:f>AP87/Pile_Input!$B$11</x:f>
      </x:c>
      <x:c r="AR87" s="20" t="n">
        <x:f>0.25*Pile_Input!$B$4*10</x:f>
        <x:v>875</x:v>
      </x:c>
      <x:c r="AS87" s="20" t="n">
        <x:f>Pile_Input!$B$7*AR87</x:f>
        <x:v>1649.3361431346414</x:v>
      </x:c>
    </x:row>
    <x:row r="88">
      <x:c r="A88" s="20" t="n">
        <x:f>Layer_Input!A88</x:f>
        <x:v>0</x:v>
      </x:c>
      <x:c r="B88" s="20" t="n">
        <x:f>Layer_Input!B88</x:f>
        <x:v>0</x:v>
      </x:c>
      <x:c r="C88" s="20" t="n">
        <x:f>Layer_Input!C88</x:f>
        <x:v>0</x:v>
      </x:c>
      <x:c r="D88" s="20" t="n">
        <x:f>Layer_Input!D88</x:f>
        <x:v>0</x:v>
      </x:c>
      <x:c r="E88" s="20" t="n">
        <x:f>Layer_Input!E88</x:f>
        <x:v>0</x:v>
      </x:c>
      <x:c r="F88" s="20" t="n">
        <x:f>Layer_Input!F88</x:f>
        <x:v>0</x:v>
      </x:c>
      <x:c r="G88" s="20" t="n">
        <x:f>Layer_Input!G88</x:f>
        <x:v>0</x:v>
      </x:c>
      <x:c r="H88" s="20" t="n">
        <x:f>Layer_Input!H88</x:f>
        <x:v>0</x:v>
      </x:c>
      <x:c r="I88" s="20" t="n">
        <x:f>MAX(C88-B88,0)</x:f>
        <x:v>0</x:v>
      </x:c>
      <x:c r="J88" s="20" t="n">
        <x:f>MAX(IF(B88&lt;Pile_Input!$B$9,D88,D88-Pile_Input!$B$10),0)</x:f>
        <x:v>0</x:v>
      </x:c>
      <x:c r="K88" s="20" t="n">
        <x:f>J88*I88</x:f>
        <x:v>0</x:v>
      </x:c>
      <x:c r="L88" s="20" t="str">
        <x:f>IF(B88="","",SUM($K$2:K88))</x:f>
      </x:c>
      <x:c r="M88" s="20" t="str">
        <x:f>IF(B88="","",L88-K88/2)</x:f>
      </x:c>
      <x:c r="N88" s="20" t="n">
        <x:f>IF(ISNUMBER(H88),0.52*H88,"")</x:f>
        <x:v>0</x:v>
      </x:c>
      <x:c r="O88" s="20" t="n">
        <x:f>IF(E88="C",AVERAGE(G88,N88),0)</x:f>
        <x:v>0</x:v>
      </x:c>
      <x:c r="P88" s="20" t="n">
        <x:f>IF(E88="C",0.93*EXP(-0.0536*O88),0)</x:f>
        <x:v>0</x:v>
      </x:c>
      <x:c r="Q88" s="20" t="n">
        <x:f>IF(E88="S",0.77*LOG10(20*95.76/MAX(M88*9.81,0.0001)),0)</x:f>
        <x:v>0</x:v>
      </x:c>
      <x:c r="R88" s="20" t="n">
        <x:f>Q88*H88</x:f>
        <x:v>0</x:v>
      </x:c>
      <x:c r="S88" s="20" t="n">
        <x:f>IF(E88="S",27.1+0.3*R88-0.00054*R88^2,0)</x:f>
        <x:v>0</x:v>
      </x:c>
      <x:c r="T88" s="20" t="n">
        <x:f>IF(E88="S",1-SIN(RADIANS(S88)),0)</x:f>
        <x:v>0</x:v>
      </x:c>
      <x:c r="U88" s="20" t="n">
        <x:f>1.5*T88</x:f>
        <x:v>0</x:v>
      </x:c>
      <x:c r="V88" s="20" t="n">
        <x:f>0.85*T88</x:f>
        <x:v>0</x:v>
      </x:c>
      <x:c r="W88" s="20" t="n">
        <x:f>IF(Pile_Input!$B$5&gt;1.5,U88,V88)</x:f>
        <x:v>0</x:v>
      </x:c>
      <x:c r="X88" s="20" t="n">
        <x:f>0.75*S88</x:f>
        <x:v>0</x:v>
      </x:c>
      <x:c r="Y88" s="20" t="n">
        <x:f>IF(E88="S",W88*TAN(RADIANS(X88)),0)</x:f>
        <x:v>0</x:v>
      </x:c>
      <x:c r="Z88" s="20" t="n">
        <x:f>P88*O88</x:f>
        <x:v>0</x:v>
      </x:c>
      <x:c r="AA88" s="20" t="n">
        <x:f>Y88*M88</x:f>
        <x:v>0</x:v>
      </x:c>
      <x:c r="AB88" s="20" t="n">
        <x:f>IF(E88="C",Z88,IF(E88="S",AA88,0))</x:f>
        <x:v>0</x:v>
      </x:c>
      <x:c r="AC88" s="20" t="n">
        <x:f>IF(B88&lt;Pile_Input!$B$8,0,MAX(AB88,0))</x:f>
        <x:v>0</x:v>
      </x:c>
      <x:c r="AD88" s="20" t="n">
        <x:f>Pile_Input!$B$7*I88</x:f>
        <x:v>0</x:v>
      </x:c>
      <x:c r="AE88" s="20" t="n">
        <x:f>AC88*AD88</x:f>
        <x:v>0</x:v>
      </x:c>
      <x:c r="AF88" s="20" t="n">
        <x:f>SUM($AE$2:AE88)</x:f>
        <x:v>2.417753626718237</x:v>
      </x:c>
      <x:c r="AG88" s="20" t="n">
        <x:f>IF(E88="S",EXP(PI()*TAN(RADIANS(S88)))*TAN(RADIANS(45+S88/2))^2*(1+TAN(RADIANS(S88))),0)</x:f>
        <x:v>0</x:v>
      </x:c>
      <x:c r="AH88" s="20" t="n">
        <x:f>IF(E88="S",0.6934*EXP(0.0974*S88),0)</x:f>
        <x:v>0</x:v>
      </x:c>
      <x:c r="AI88" s="20" t="n">
        <x:f>IF(Pile_Input!$B$5&gt;1.5,AG88,AH88)</x:f>
        <x:v>0</x:v>
      </x:c>
      <x:c r="AJ88" s="20" t="n">
        <x:f>IF(E88="S",2*(AI88+1)*TAN(RADIANS(S88)),0)</x:f>
        <x:v>0</x:v>
      </x:c>
      <x:c r="AK88" s="20" t="n">
        <x:f>MIN(9*O88,Pile_Input!$B$12)</x:f>
        <x:v>0</x:v>
      </x:c>
      <x:c r="AL88" s="20" t="n">
        <x:f>MIN((AI88-1)*L88,Pile_Input!$B$12)</x:f>
        <x:v>0</x:v>
      </x:c>
      <x:c r="AM88" s="20" t="n">
        <x:f>IF(E88="C",AK88,IF(E88="S",AL88,0))</x:f>
        <x:v>0</x:v>
      </x:c>
      <x:c r="AN88" s="20" t="e">
        <x:f>AVERAGE(INDEX($AM:$AM,MAX(2,ROW()-1)):INDEX($AM:$AM,MIN(101,ROW()+2)))</x:f>
      </x:c>
      <x:c r="AO88" s="20" t="e">
        <x:f>AN88*Pile_Input!$B$7</x:f>
      </x:c>
      <x:c r="AP88" s="20" t="e">
        <x:f>AF88+AO88</x:f>
      </x:c>
      <x:c r="AQ88" s="20" t="e">
        <x:f>AP88/Pile_Input!$B$11</x:f>
      </x:c>
      <x:c r="AR88" s="20" t="n">
        <x:f>0.25*Pile_Input!$B$4*10</x:f>
        <x:v>875</x:v>
      </x:c>
      <x:c r="AS88" s="20" t="n">
        <x:f>Pile_Input!$B$7*AR88</x:f>
        <x:v>1649.3361431346414</x:v>
      </x:c>
    </x:row>
    <x:row r="89">
      <x:c r="A89" s="20" t="n">
        <x:f>Layer_Input!A89</x:f>
        <x:v>0</x:v>
      </x:c>
      <x:c r="B89" s="20" t="n">
        <x:f>Layer_Input!B89</x:f>
        <x:v>0</x:v>
      </x:c>
      <x:c r="C89" s="20" t="n">
        <x:f>Layer_Input!C89</x:f>
        <x:v>0</x:v>
      </x:c>
      <x:c r="D89" s="20" t="n">
        <x:f>Layer_Input!D89</x:f>
        <x:v>0</x:v>
      </x:c>
      <x:c r="E89" s="20" t="n">
        <x:f>Layer_Input!E89</x:f>
        <x:v>0</x:v>
      </x:c>
      <x:c r="F89" s="20" t="n">
        <x:f>Layer_Input!F89</x:f>
        <x:v>0</x:v>
      </x:c>
      <x:c r="G89" s="20" t="n">
        <x:f>Layer_Input!G89</x:f>
        <x:v>0</x:v>
      </x:c>
      <x:c r="H89" s="20" t="n">
        <x:f>Layer_Input!H89</x:f>
        <x:v>0</x:v>
      </x:c>
      <x:c r="I89" s="20" t="n">
        <x:f>MAX(C89-B89,0)</x:f>
        <x:v>0</x:v>
      </x:c>
      <x:c r="J89" s="20" t="n">
        <x:f>MAX(IF(B89&lt;Pile_Input!$B$9,D89,D89-Pile_Input!$B$10),0)</x:f>
        <x:v>0</x:v>
      </x:c>
      <x:c r="K89" s="20" t="n">
        <x:f>J89*I89</x:f>
        <x:v>0</x:v>
      </x:c>
      <x:c r="L89" s="20" t="str">
        <x:f>IF(B89="","",SUM($K$2:K89))</x:f>
      </x:c>
      <x:c r="M89" s="20" t="str">
        <x:f>IF(B89="","",L89-K89/2)</x:f>
      </x:c>
      <x:c r="N89" s="20" t="n">
        <x:f>IF(ISNUMBER(H89),0.52*H89,"")</x:f>
        <x:v>0</x:v>
      </x:c>
      <x:c r="O89" s="20" t="n">
        <x:f>IF(E89="C",AVERAGE(G89,N89),0)</x:f>
        <x:v>0</x:v>
      </x:c>
      <x:c r="P89" s="20" t="n">
        <x:f>IF(E89="C",0.93*EXP(-0.0536*O89),0)</x:f>
        <x:v>0</x:v>
      </x:c>
      <x:c r="Q89" s="20" t="n">
        <x:f>IF(E89="S",0.77*LOG10(20*95.76/MAX(M89*9.81,0.0001)),0)</x:f>
        <x:v>0</x:v>
      </x:c>
      <x:c r="R89" s="20" t="n">
        <x:f>Q89*H89</x:f>
        <x:v>0</x:v>
      </x:c>
      <x:c r="S89" s="20" t="n">
        <x:f>IF(E89="S",27.1+0.3*R89-0.00054*R89^2,0)</x:f>
        <x:v>0</x:v>
      </x:c>
      <x:c r="T89" s="20" t="n">
        <x:f>IF(E89="S",1-SIN(RADIANS(S89)),0)</x:f>
        <x:v>0</x:v>
      </x:c>
      <x:c r="U89" s="20" t="n">
        <x:f>1.5*T89</x:f>
        <x:v>0</x:v>
      </x:c>
      <x:c r="V89" s="20" t="n">
        <x:f>0.85*T89</x:f>
        <x:v>0</x:v>
      </x:c>
      <x:c r="W89" s="20" t="n">
        <x:f>IF(Pile_Input!$B$5&gt;1.5,U89,V89)</x:f>
        <x:v>0</x:v>
      </x:c>
      <x:c r="X89" s="20" t="n">
        <x:f>0.75*S89</x:f>
        <x:v>0</x:v>
      </x:c>
      <x:c r="Y89" s="20" t="n">
        <x:f>IF(E89="S",W89*TAN(RADIANS(X89)),0)</x:f>
        <x:v>0</x:v>
      </x:c>
      <x:c r="Z89" s="20" t="n">
        <x:f>P89*O89</x:f>
        <x:v>0</x:v>
      </x:c>
      <x:c r="AA89" s="20" t="n">
        <x:f>Y89*M89</x:f>
        <x:v>0</x:v>
      </x:c>
      <x:c r="AB89" s="20" t="n">
        <x:f>IF(E89="C",Z89,IF(E89="S",AA89,0))</x:f>
        <x:v>0</x:v>
      </x:c>
      <x:c r="AC89" s="20" t="n">
        <x:f>IF(B89&lt;Pile_Input!$B$8,0,MAX(AB89,0))</x:f>
        <x:v>0</x:v>
      </x:c>
      <x:c r="AD89" s="20" t="n">
        <x:f>Pile_Input!$B$7*I89</x:f>
        <x:v>0</x:v>
      </x:c>
      <x:c r="AE89" s="20" t="n">
        <x:f>AC89*AD89</x:f>
        <x:v>0</x:v>
      </x:c>
      <x:c r="AF89" s="20" t="n">
        <x:f>SUM($AE$2:AE89)</x:f>
        <x:v>2.417753626718237</x:v>
      </x:c>
      <x:c r="AG89" s="20" t="n">
        <x:f>IF(E89="S",EXP(PI()*TAN(RADIANS(S89)))*TAN(RADIANS(45+S89/2))^2*(1+TAN(RADIANS(S89))),0)</x:f>
        <x:v>0</x:v>
      </x:c>
      <x:c r="AH89" s="20" t="n">
        <x:f>IF(E89="S",0.6934*EXP(0.0974*S89),0)</x:f>
        <x:v>0</x:v>
      </x:c>
      <x:c r="AI89" s="20" t="n">
        <x:f>IF(Pile_Input!$B$5&gt;1.5,AG89,AH89)</x:f>
        <x:v>0</x:v>
      </x:c>
      <x:c r="AJ89" s="20" t="n">
        <x:f>IF(E89="S",2*(AI89+1)*TAN(RADIANS(S89)),0)</x:f>
        <x:v>0</x:v>
      </x:c>
      <x:c r="AK89" s="20" t="n">
        <x:f>MIN(9*O89,Pile_Input!$B$12)</x:f>
        <x:v>0</x:v>
      </x:c>
      <x:c r="AL89" s="20" t="n">
        <x:f>MIN((AI89-1)*L89,Pile_Input!$B$12)</x:f>
        <x:v>0</x:v>
      </x:c>
      <x:c r="AM89" s="20" t="n">
        <x:f>IF(E89="C",AK89,IF(E89="S",AL89,0))</x:f>
        <x:v>0</x:v>
      </x:c>
      <x:c r="AN89" s="20" t="e">
        <x:f>AVERAGE(INDEX($AM:$AM,MAX(2,ROW()-1)):INDEX($AM:$AM,MIN(101,ROW()+2)))</x:f>
      </x:c>
      <x:c r="AO89" s="20" t="e">
        <x:f>AN89*Pile_Input!$B$7</x:f>
      </x:c>
      <x:c r="AP89" s="20" t="e">
        <x:f>AF89+AO89</x:f>
      </x:c>
      <x:c r="AQ89" s="20" t="e">
        <x:f>AP89/Pile_Input!$B$11</x:f>
      </x:c>
      <x:c r="AR89" s="20" t="n">
        <x:f>0.25*Pile_Input!$B$4*10</x:f>
        <x:v>875</x:v>
      </x:c>
      <x:c r="AS89" s="20" t="n">
        <x:f>Pile_Input!$B$7*AR89</x:f>
        <x:v>1649.3361431346414</x:v>
      </x:c>
    </x:row>
    <x:row r="90">
      <x:c r="A90" s="20" t="n">
        <x:f>Layer_Input!A90</x:f>
        <x:v>0</x:v>
      </x:c>
      <x:c r="B90" s="20" t="n">
        <x:f>Layer_Input!B90</x:f>
        <x:v>0</x:v>
      </x:c>
      <x:c r="C90" s="20" t="n">
        <x:f>Layer_Input!C90</x:f>
        <x:v>0</x:v>
      </x:c>
      <x:c r="D90" s="20" t="n">
        <x:f>Layer_Input!D90</x:f>
        <x:v>0</x:v>
      </x:c>
      <x:c r="E90" s="20" t="n">
        <x:f>Layer_Input!E90</x:f>
        <x:v>0</x:v>
      </x:c>
      <x:c r="F90" s="20" t="n">
        <x:f>Layer_Input!F90</x:f>
        <x:v>0</x:v>
      </x:c>
      <x:c r="G90" s="20" t="n">
        <x:f>Layer_Input!G90</x:f>
        <x:v>0</x:v>
      </x:c>
      <x:c r="H90" s="20" t="n">
        <x:f>Layer_Input!H90</x:f>
        <x:v>0</x:v>
      </x:c>
      <x:c r="I90" s="20" t="n">
        <x:f>MAX(C90-B90,0)</x:f>
        <x:v>0</x:v>
      </x:c>
      <x:c r="J90" s="20" t="n">
        <x:f>MAX(IF(B90&lt;Pile_Input!$B$9,D90,D90-Pile_Input!$B$10),0)</x:f>
        <x:v>0</x:v>
      </x:c>
      <x:c r="K90" s="20" t="n">
        <x:f>J90*I90</x:f>
        <x:v>0</x:v>
      </x:c>
      <x:c r="L90" s="20" t="str">
        <x:f>IF(B90="","",SUM($K$2:K90))</x:f>
      </x:c>
      <x:c r="M90" s="20" t="str">
        <x:f>IF(B90="","",L90-K90/2)</x:f>
      </x:c>
      <x:c r="N90" s="20" t="n">
        <x:f>IF(ISNUMBER(H90),0.52*H90,"")</x:f>
        <x:v>0</x:v>
      </x:c>
      <x:c r="O90" s="20" t="n">
        <x:f>IF(E90="C",AVERAGE(G90,N90),0)</x:f>
        <x:v>0</x:v>
      </x:c>
      <x:c r="P90" s="20" t="n">
        <x:f>IF(E90="C",0.93*EXP(-0.0536*O90),0)</x:f>
        <x:v>0</x:v>
      </x:c>
      <x:c r="Q90" s="20" t="n">
        <x:f>IF(E90="S",0.77*LOG10(20*95.76/MAX(M90*9.81,0.0001)),0)</x:f>
        <x:v>0</x:v>
      </x:c>
      <x:c r="R90" s="20" t="n">
        <x:f>Q90*H90</x:f>
        <x:v>0</x:v>
      </x:c>
      <x:c r="S90" s="20" t="n">
        <x:f>IF(E90="S",27.1+0.3*R90-0.00054*R90^2,0)</x:f>
        <x:v>0</x:v>
      </x:c>
      <x:c r="T90" s="20" t="n">
        <x:f>IF(E90="S",1-SIN(RADIANS(S90)),0)</x:f>
        <x:v>0</x:v>
      </x:c>
      <x:c r="U90" s="20" t="n">
        <x:f>1.5*T90</x:f>
        <x:v>0</x:v>
      </x:c>
      <x:c r="V90" s="20" t="n">
        <x:f>0.85*T90</x:f>
        <x:v>0</x:v>
      </x:c>
      <x:c r="W90" s="20" t="n">
        <x:f>IF(Pile_Input!$B$5&gt;1.5,U90,V90)</x:f>
        <x:v>0</x:v>
      </x:c>
      <x:c r="X90" s="20" t="n">
        <x:f>0.75*S90</x:f>
        <x:v>0</x:v>
      </x:c>
      <x:c r="Y90" s="20" t="n">
        <x:f>IF(E90="S",W90*TAN(RADIANS(X90)),0)</x:f>
        <x:v>0</x:v>
      </x:c>
      <x:c r="Z90" s="20" t="n">
        <x:f>P90*O90</x:f>
        <x:v>0</x:v>
      </x:c>
      <x:c r="AA90" s="20" t="n">
        <x:f>Y90*M90</x:f>
        <x:v>0</x:v>
      </x:c>
      <x:c r="AB90" s="20" t="n">
        <x:f>IF(E90="C",Z90,IF(E90="S",AA90,0))</x:f>
        <x:v>0</x:v>
      </x:c>
      <x:c r="AC90" s="20" t="n">
        <x:f>IF(B90&lt;Pile_Input!$B$8,0,MAX(AB90,0))</x:f>
        <x:v>0</x:v>
      </x:c>
      <x:c r="AD90" s="20" t="n">
        <x:f>Pile_Input!$B$7*I90</x:f>
        <x:v>0</x:v>
      </x:c>
      <x:c r="AE90" s="20" t="n">
        <x:f>AC90*AD90</x:f>
        <x:v>0</x:v>
      </x:c>
      <x:c r="AF90" s="20" t="n">
        <x:f>SUM($AE$2:AE90)</x:f>
        <x:v>2.417753626718237</x:v>
      </x:c>
      <x:c r="AG90" s="20" t="n">
        <x:f>IF(E90="S",EXP(PI()*TAN(RADIANS(S90)))*TAN(RADIANS(45+S90/2))^2*(1+TAN(RADIANS(S90))),0)</x:f>
        <x:v>0</x:v>
      </x:c>
      <x:c r="AH90" s="20" t="n">
        <x:f>IF(E90="S",0.6934*EXP(0.0974*S90),0)</x:f>
        <x:v>0</x:v>
      </x:c>
      <x:c r="AI90" s="20" t="n">
        <x:f>IF(Pile_Input!$B$5&gt;1.5,AG90,AH90)</x:f>
        <x:v>0</x:v>
      </x:c>
      <x:c r="AJ90" s="20" t="n">
        <x:f>IF(E90="S",2*(AI90+1)*TAN(RADIANS(S90)),0)</x:f>
        <x:v>0</x:v>
      </x:c>
      <x:c r="AK90" s="20" t="n">
        <x:f>MIN(9*O90,Pile_Input!$B$12)</x:f>
        <x:v>0</x:v>
      </x:c>
      <x:c r="AL90" s="20" t="n">
        <x:f>MIN((AI90-1)*L90,Pile_Input!$B$12)</x:f>
        <x:v>0</x:v>
      </x:c>
      <x:c r="AM90" s="20" t="n">
        <x:f>IF(E90="C",AK90,IF(E90="S",AL90,0))</x:f>
        <x:v>0</x:v>
      </x:c>
      <x:c r="AN90" s="20" t="e">
        <x:f>AVERAGE(INDEX($AM:$AM,MAX(2,ROW()-1)):INDEX($AM:$AM,MIN(101,ROW()+2)))</x:f>
      </x:c>
      <x:c r="AO90" s="20" t="e">
        <x:f>AN90*Pile_Input!$B$7</x:f>
      </x:c>
      <x:c r="AP90" s="20" t="e">
        <x:f>AF90+AO90</x:f>
      </x:c>
      <x:c r="AQ90" s="20" t="e">
        <x:f>AP90/Pile_Input!$B$11</x:f>
      </x:c>
      <x:c r="AR90" s="20" t="n">
        <x:f>0.25*Pile_Input!$B$4*10</x:f>
        <x:v>875</x:v>
      </x:c>
      <x:c r="AS90" s="20" t="n">
        <x:f>Pile_Input!$B$7*AR90</x:f>
        <x:v>1649.3361431346414</x:v>
      </x:c>
    </x:row>
    <x:row r="91">
      <x:c r="A91" s="20" t="n">
        <x:f>Layer_Input!A91</x:f>
        <x:v>0</x:v>
      </x:c>
      <x:c r="B91" s="20" t="n">
        <x:f>Layer_Input!B91</x:f>
        <x:v>0</x:v>
      </x:c>
      <x:c r="C91" s="20" t="n">
        <x:f>Layer_Input!C91</x:f>
        <x:v>0</x:v>
      </x:c>
      <x:c r="D91" s="20" t="n">
        <x:f>Layer_Input!D91</x:f>
        <x:v>0</x:v>
      </x:c>
      <x:c r="E91" s="20" t="n">
        <x:f>Layer_Input!E91</x:f>
        <x:v>0</x:v>
      </x:c>
      <x:c r="F91" s="20" t="n">
        <x:f>Layer_Input!F91</x:f>
        <x:v>0</x:v>
      </x:c>
      <x:c r="G91" s="20" t="n">
        <x:f>Layer_Input!G91</x:f>
        <x:v>0</x:v>
      </x:c>
      <x:c r="H91" s="20" t="n">
        <x:f>Layer_Input!H91</x:f>
        <x:v>0</x:v>
      </x:c>
      <x:c r="I91" s="20" t="n">
        <x:f>MAX(C91-B91,0)</x:f>
        <x:v>0</x:v>
      </x:c>
      <x:c r="J91" s="20" t="n">
        <x:f>MAX(IF(B91&lt;Pile_Input!$B$9,D91,D91-Pile_Input!$B$10),0)</x:f>
        <x:v>0</x:v>
      </x:c>
      <x:c r="K91" s="20" t="n">
        <x:f>J91*I91</x:f>
        <x:v>0</x:v>
      </x:c>
      <x:c r="L91" s="20" t="str">
        <x:f>IF(B91="","",SUM($K$2:K91))</x:f>
      </x:c>
      <x:c r="M91" s="20" t="str">
        <x:f>IF(B91="","",L91-K91/2)</x:f>
      </x:c>
      <x:c r="N91" s="20" t="n">
        <x:f>IF(ISNUMBER(H91),0.52*H91,"")</x:f>
        <x:v>0</x:v>
      </x:c>
      <x:c r="O91" s="20" t="n">
        <x:f>IF(E91="C",AVERAGE(G91,N91),0)</x:f>
        <x:v>0</x:v>
      </x:c>
      <x:c r="P91" s="20" t="n">
        <x:f>IF(E91="C",0.93*EXP(-0.0536*O91),0)</x:f>
        <x:v>0</x:v>
      </x:c>
      <x:c r="Q91" s="20" t="n">
        <x:f>IF(E91="S",0.77*LOG10(20*95.76/MAX(M91*9.81,0.0001)),0)</x:f>
        <x:v>0</x:v>
      </x:c>
      <x:c r="R91" s="20" t="n">
        <x:f>Q91*H91</x:f>
        <x:v>0</x:v>
      </x:c>
      <x:c r="S91" s="20" t="n">
        <x:f>IF(E91="S",27.1+0.3*R91-0.00054*R91^2,0)</x:f>
        <x:v>0</x:v>
      </x:c>
      <x:c r="T91" s="20" t="n">
        <x:f>IF(E91="S",1-SIN(RADIANS(S91)),0)</x:f>
        <x:v>0</x:v>
      </x:c>
      <x:c r="U91" s="20" t="n">
        <x:f>1.5*T91</x:f>
        <x:v>0</x:v>
      </x:c>
      <x:c r="V91" s="20" t="n">
        <x:f>0.85*T91</x:f>
        <x:v>0</x:v>
      </x:c>
      <x:c r="W91" s="20" t="n">
        <x:f>IF(Pile_Input!$B$5&gt;1.5,U91,V91)</x:f>
        <x:v>0</x:v>
      </x:c>
      <x:c r="X91" s="20" t="n">
        <x:f>0.75*S91</x:f>
        <x:v>0</x:v>
      </x:c>
      <x:c r="Y91" s="20" t="n">
        <x:f>IF(E91="S",W91*TAN(RADIANS(X91)),0)</x:f>
        <x:v>0</x:v>
      </x:c>
      <x:c r="Z91" s="20" t="n">
        <x:f>P91*O91</x:f>
        <x:v>0</x:v>
      </x:c>
      <x:c r="AA91" s="20" t="n">
        <x:f>Y91*M91</x:f>
        <x:v>0</x:v>
      </x:c>
      <x:c r="AB91" s="20" t="n">
        <x:f>IF(E91="C",Z91,IF(E91="S",AA91,0))</x:f>
        <x:v>0</x:v>
      </x:c>
      <x:c r="AC91" s="20" t="n">
        <x:f>IF(B91&lt;Pile_Input!$B$8,0,MAX(AB91,0))</x:f>
        <x:v>0</x:v>
      </x:c>
      <x:c r="AD91" s="20" t="n">
        <x:f>Pile_Input!$B$7*I91</x:f>
        <x:v>0</x:v>
      </x:c>
      <x:c r="AE91" s="20" t="n">
        <x:f>AC91*AD91</x:f>
        <x:v>0</x:v>
      </x:c>
      <x:c r="AF91" s="20" t="n">
        <x:f>SUM($AE$2:AE91)</x:f>
        <x:v>2.417753626718237</x:v>
      </x:c>
      <x:c r="AG91" s="20" t="n">
        <x:f>IF(E91="S",EXP(PI()*TAN(RADIANS(S91)))*TAN(RADIANS(45+S91/2))^2*(1+TAN(RADIANS(S91))),0)</x:f>
        <x:v>0</x:v>
      </x:c>
      <x:c r="AH91" s="20" t="n">
        <x:f>IF(E91="S",0.6934*EXP(0.0974*S91),0)</x:f>
        <x:v>0</x:v>
      </x:c>
      <x:c r="AI91" s="20" t="n">
        <x:f>IF(Pile_Input!$B$5&gt;1.5,AG91,AH91)</x:f>
        <x:v>0</x:v>
      </x:c>
      <x:c r="AJ91" s="20" t="n">
        <x:f>IF(E91="S",2*(AI91+1)*TAN(RADIANS(S91)),0)</x:f>
        <x:v>0</x:v>
      </x:c>
      <x:c r="AK91" s="20" t="n">
        <x:f>MIN(9*O91,Pile_Input!$B$12)</x:f>
        <x:v>0</x:v>
      </x:c>
      <x:c r="AL91" s="20" t="n">
        <x:f>MIN((AI91-1)*L91,Pile_Input!$B$12)</x:f>
        <x:v>0</x:v>
      </x:c>
      <x:c r="AM91" s="20" t="n">
        <x:f>IF(E91="C",AK91,IF(E91="S",AL91,0))</x:f>
        <x:v>0</x:v>
      </x:c>
      <x:c r="AN91" s="20" t="e">
        <x:f>AVERAGE(INDEX($AM:$AM,MAX(2,ROW()-1)):INDEX($AM:$AM,MIN(101,ROW()+2)))</x:f>
      </x:c>
      <x:c r="AO91" s="20" t="e">
        <x:f>AN91*Pile_Input!$B$7</x:f>
      </x:c>
      <x:c r="AP91" s="20" t="e">
        <x:f>AF91+AO91</x:f>
      </x:c>
      <x:c r="AQ91" s="20" t="e">
        <x:f>AP91/Pile_Input!$B$11</x:f>
      </x:c>
      <x:c r="AR91" s="20" t="n">
        <x:f>0.25*Pile_Input!$B$4*10</x:f>
        <x:v>875</x:v>
      </x:c>
      <x:c r="AS91" s="20" t="n">
        <x:f>Pile_Input!$B$7*AR91</x:f>
        <x:v>1649.3361431346414</x:v>
      </x:c>
    </x:row>
    <x:row r="92">
      <x:c r="A92" s="20" t="n">
        <x:f>Layer_Input!A92</x:f>
        <x:v>0</x:v>
      </x:c>
      <x:c r="B92" s="20" t="n">
        <x:f>Layer_Input!B92</x:f>
        <x:v>0</x:v>
      </x:c>
      <x:c r="C92" s="20" t="n">
        <x:f>Layer_Input!C92</x:f>
        <x:v>0</x:v>
      </x:c>
      <x:c r="D92" s="20" t="n">
        <x:f>Layer_Input!D92</x:f>
        <x:v>0</x:v>
      </x:c>
      <x:c r="E92" s="20" t="n">
        <x:f>Layer_Input!E92</x:f>
        <x:v>0</x:v>
      </x:c>
      <x:c r="F92" s="20" t="n">
        <x:f>Layer_Input!F92</x:f>
        <x:v>0</x:v>
      </x:c>
      <x:c r="G92" s="20" t="n">
        <x:f>Layer_Input!G92</x:f>
        <x:v>0</x:v>
      </x:c>
      <x:c r="H92" s="20" t="n">
        <x:f>Layer_Input!H92</x:f>
        <x:v>0</x:v>
      </x:c>
      <x:c r="I92" s="20" t="n">
        <x:f>MAX(C92-B92,0)</x:f>
        <x:v>0</x:v>
      </x:c>
      <x:c r="J92" s="20" t="n">
        <x:f>MAX(IF(B92&lt;Pile_Input!$B$9,D92,D92-Pile_Input!$B$10),0)</x:f>
        <x:v>0</x:v>
      </x:c>
      <x:c r="K92" s="20" t="n">
        <x:f>J92*I92</x:f>
        <x:v>0</x:v>
      </x:c>
      <x:c r="L92" s="20" t="str">
        <x:f>IF(B92="","",SUM($K$2:K92))</x:f>
      </x:c>
      <x:c r="M92" s="20" t="str">
        <x:f>IF(B92="","",L92-K92/2)</x:f>
      </x:c>
      <x:c r="N92" s="20" t="n">
        <x:f>IF(ISNUMBER(H92),0.52*H92,"")</x:f>
        <x:v>0</x:v>
      </x:c>
      <x:c r="O92" s="20" t="n">
        <x:f>IF(E92="C",AVERAGE(G92,N92),0)</x:f>
        <x:v>0</x:v>
      </x:c>
      <x:c r="P92" s="20" t="n">
        <x:f>IF(E92="C",0.93*EXP(-0.0536*O92),0)</x:f>
        <x:v>0</x:v>
      </x:c>
      <x:c r="Q92" s="20" t="n">
        <x:f>IF(E92="S",0.77*LOG10(20*95.76/MAX(M92*9.81,0.0001)),0)</x:f>
        <x:v>0</x:v>
      </x:c>
      <x:c r="R92" s="20" t="n">
        <x:f>Q92*H92</x:f>
        <x:v>0</x:v>
      </x:c>
      <x:c r="S92" s="20" t="n">
        <x:f>IF(E92="S",27.1+0.3*R92-0.00054*R92^2,0)</x:f>
        <x:v>0</x:v>
      </x:c>
      <x:c r="T92" s="20" t="n">
        <x:f>IF(E92="S",1-SIN(RADIANS(S92)),0)</x:f>
        <x:v>0</x:v>
      </x:c>
      <x:c r="U92" s="20" t="n">
        <x:f>1.5*T92</x:f>
        <x:v>0</x:v>
      </x:c>
      <x:c r="V92" s="20" t="n">
        <x:f>0.85*T92</x:f>
        <x:v>0</x:v>
      </x:c>
      <x:c r="W92" s="20" t="n">
        <x:f>IF(Pile_Input!$B$5&gt;1.5,U92,V92)</x:f>
        <x:v>0</x:v>
      </x:c>
      <x:c r="X92" s="20" t="n">
        <x:f>0.75*S92</x:f>
        <x:v>0</x:v>
      </x:c>
      <x:c r="Y92" s="20" t="n">
        <x:f>IF(E92="S",W92*TAN(RADIANS(X92)),0)</x:f>
        <x:v>0</x:v>
      </x:c>
      <x:c r="Z92" s="20" t="n">
        <x:f>P92*O92</x:f>
        <x:v>0</x:v>
      </x:c>
      <x:c r="AA92" s="20" t="n">
        <x:f>Y92*M92</x:f>
        <x:v>0</x:v>
      </x:c>
      <x:c r="AB92" s="20" t="n">
        <x:f>IF(E92="C",Z92,IF(E92="S",AA92,0))</x:f>
        <x:v>0</x:v>
      </x:c>
      <x:c r="AC92" s="20" t="n">
        <x:f>IF(B92&lt;Pile_Input!$B$8,0,MAX(AB92,0))</x:f>
        <x:v>0</x:v>
      </x:c>
      <x:c r="AD92" s="20" t="n">
        <x:f>Pile_Input!$B$7*I92</x:f>
        <x:v>0</x:v>
      </x:c>
      <x:c r="AE92" s="20" t="n">
        <x:f>AC92*AD92</x:f>
        <x:v>0</x:v>
      </x:c>
      <x:c r="AF92" s="20" t="n">
        <x:f>SUM($AE$2:AE92)</x:f>
        <x:v>2.417753626718237</x:v>
      </x:c>
      <x:c r="AG92" s="20" t="n">
        <x:f>IF(E92="S",EXP(PI()*TAN(RADIANS(S92)))*TAN(RADIANS(45+S92/2))^2*(1+TAN(RADIANS(S92))),0)</x:f>
        <x:v>0</x:v>
      </x:c>
      <x:c r="AH92" s="20" t="n">
        <x:f>IF(E92="S",0.6934*EXP(0.0974*S92),0)</x:f>
        <x:v>0</x:v>
      </x:c>
      <x:c r="AI92" s="20" t="n">
        <x:f>IF(Pile_Input!$B$5&gt;1.5,AG92,AH92)</x:f>
        <x:v>0</x:v>
      </x:c>
      <x:c r="AJ92" s="20" t="n">
        <x:f>IF(E92="S",2*(AI92+1)*TAN(RADIANS(S92)),0)</x:f>
        <x:v>0</x:v>
      </x:c>
      <x:c r="AK92" s="20" t="n">
        <x:f>MIN(9*O92,Pile_Input!$B$12)</x:f>
        <x:v>0</x:v>
      </x:c>
      <x:c r="AL92" s="20" t="n">
        <x:f>MIN((AI92-1)*L92,Pile_Input!$B$12)</x:f>
        <x:v>0</x:v>
      </x:c>
      <x:c r="AM92" s="20" t="n">
        <x:f>IF(E92="C",AK92,IF(E92="S",AL92,0))</x:f>
        <x:v>0</x:v>
      </x:c>
      <x:c r="AN92" s="20" t="e">
        <x:f>AVERAGE(INDEX($AM:$AM,MAX(2,ROW()-1)):INDEX($AM:$AM,MIN(101,ROW()+2)))</x:f>
      </x:c>
      <x:c r="AO92" s="20" t="e">
        <x:f>AN92*Pile_Input!$B$7</x:f>
      </x:c>
      <x:c r="AP92" s="20" t="e">
        <x:f>AF92+AO92</x:f>
      </x:c>
      <x:c r="AQ92" s="20" t="e">
        <x:f>AP92/Pile_Input!$B$11</x:f>
      </x:c>
      <x:c r="AR92" s="20" t="n">
        <x:f>0.25*Pile_Input!$B$4*10</x:f>
        <x:v>875</x:v>
      </x:c>
      <x:c r="AS92" s="20" t="n">
        <x:f>Pile_Input!$B$7*AR92</x:f>
        <x:v>1649.3361431346414</x:v>
      </x:c>
    </x:row>
    <x:row r="93">
      <x:c r="A93" s="20" t="n">
        <x:f>Layer_Input!A93</x:f>
        <x:v>0</x:v>
      </x:c>
      <x:c r="B93" s="20" t="n">
        <x:f>Layer_Input!B93</x:f>
        <x:v>0</x:v>
      </x:c>
      <x:c r="C93" s="20" t="n">
        <x:f>Layer_Input!C93</x:f>
        <x:v>0</x:v>
      </x:c>
      <x:c r="D93" s="20" t="n">
        <x:f>Layer_Input!D93</x:f>
        <x:v>0</x:v>
      </x:c>
      <x:c r="E93" s="20" t="n">
        <x:f>Layer_Input!E93</x:f>
        <x:v>0</x:v>
      </x:c>
      <x:c r="F93" s="20" t="n">
        <x:f>Layer_Input!F93</x:f>
        <x:v>0</x:v>
      </x:c>
      <x:c r="G93" s="20" t="n">
        <x:f>Layer_Input!G93</x:f>
        <x:v>0</x:v>
      </x:c>
      <x:c r="H93" s="20" t="n">
        <x:f>Layer_Input!H93</x:f>
        <x:v>0</x:v>
      </x:c>
      <x:c r="I93" s="20" t="n">
        <x:f>MAX(C93-B93,0)</x:f>
        <x:v>0</x:v>
      </x:c>
      <x:c r="J93" s="20" t="n">
        <x:f>MAX(IF(B93&lt;Pile_Input!$B$9,D93,D93-Pile_Input!$B$10),0)</x:f>
        <x:v>0</x:v>
      </x:c>
      <x:c r="K93" s="20" t="n">
        <x:f>J93*I93</x:f>
        <x:v>0</x:v>
      </x:c>
      <x:c r="L93" s="20" t="str">
        <x:f>IF(B93="","",SUM($K$2:K93))</x:f>
      </x:c>
      <x:c r="M93" s="20" t="str">
        <x:f>IF(B93="","",L93-K93/2)</x:f>
      </x:c>
      <x:c r="N93" s="20" t="n">
        <x:f>IF(ISNUMBER(H93),0.52*H93,"")</x:f>
        <x:v>0</x:v>
      </x:c>
      <x:c r="O93" s="20" t="n">
        <x:f>IF(E93="C",AVERAGE(G93,N93),0)</x:f>
        <x:v>0</x:v>
      </x:c>
      <x:c r="P93" s="20" t="n">
        <x:f>IF(E93="C",0.93*EXP(-0.0536*O93),0)</x:f>
        <x:v>0</x:v>
      </x:c>
      <x:c r="Q93" s="20" t="n">
        <x:f>IF(E93="S",0.77*LOG10(20*95.76/MAX(M93*9.81,0.0001)),0)</x:f>
        <x:v>0</x:v>
      </x:c>
      <x:c r="R93" s="20" t="n">
        <x:f>Q93*H93</x:f>
        <x:v>0</x:v>
      </x:c>
      <x:c r="S93" s="20" t="n">
        <x:f>IF(E93="S",27.1+0.3*R93-0.00054*R93^2,0)</x:f>
        <x:v>0</x:v>
      </x:c>
      <x:c r="T93" s="20" t="n">
        <x:f>IF(E93="S",1-SIN(RADIANS(S93)),0)</x:f>
        <x:v>0</x:v>
      </x:c>
      <x:c r="U93" s="20" t="n">
        <x:f>1.5*T93</x:f>
        <x:v>0</x:v>
      </x:c>
      <x:c r="V93" s="20" t="n">
        <x:f>0.85*T93</x:f>
        <x:v>0</x:v>
      </x:c>
      <x:c r="W93" s="20" t="n">
        <x:f>IF(Pile_Input!$B$5&gt;1.5,U93,V93)</x:f>
        <x:v>0</x:v>
      </x:c>
      <x:c r="X93" s="20" t="n">
        <x:f>0.75*S93</x:f>
        <x:v>0</x:v>
      </x:c>
      <x:c r="Y93" s="20" t="n">
        <x:f>IF(E93="S",W93*TAN(RADIANS(X93)),0)</x:f>
        <x:v>0</x:v>
      </x:c>
      <x:c r="Z93" s="20" t="n">
        <x:f>P93*O93</x:f>
        <x:v>0</x:v>
      </x:c>
      <x:c r="AA93" s="20" t="n">
        <x:f>Y93*M93</x:f>
        <x:v>0</x:v>
      </x:c>
      <x:c r="AB93" s="20" t="n">
        <x:f>IF(E93="C",Z93,IF(E93="S",AA93,0))</x:f>
        <x:v>0</x:v>
      </x:c>
      <x:c r="AC93" s="20" t="n">
        <x:f>IF(B93&lt;Pile_Input!$B$8,0,MAX(AB93,0))</x:f>
        <x:v>0</x:v>
      </x:c>
      <x:c r="AD93" s="20" t="n">
        <x:f>Pile_Input!$B$7*I93</x:f>
        <x:v>0</x:v>
      </x:c>
      <x:c r="AE93" s="20" t="n">
        <x:f>AC93*AD93</x:f>
        <x:v>0</x:v>
      </x:c>
      <x:c r="AF93" s="20" t="n">
        <x:f>SUM($AE$2:AE93)</x:f>
        <x:v>2.417753626718237</x:v>
      </x:c>
      <x:c r="AG93" s="20" t="n">
        <x:f>IF(E93="S",EXP(PI()*TAN(RADIANS(S93)))*TAN(RADIANS(45+S93/2))^2*(1+TAN(RADIANS(S93))),0)</x:f>
        <x:v>0</x:v>
      </x:c>
      <x:c r="AH93" s="20" t="n">
        <x:f>IF(E93="S",0.6934*EXP(0.0974*S93),0)</x:f>
        <x:v>0</x:v>
      </x:c>
      <x:c r="AI93" s="20" t="n">
        <x:f>IF(Pile_Input!$B$5&gt;1.5,AG93,AH93)</x:f>
        <x:v>0</x:v>
      </x:c>
      <x:c r="AJ93" s="20" t="n">
        <x:f>IF(E93="S",2*(AI93+1)*TAN(RADIANS(S93)),0)</x:f>
        <x:v>0</x:v>
      </x:c>
      <x:c r="AK93" s="20" t="n">
        <x:f>MIN(9*O93,Pile_Input!$B$12)</x:f>
        <x:v>0</x:v>
      </x:c>
      <x:c r="AL93" s="20" t="n">
        <x:f>MIN((AI93-1)*L93,Pile_Input!$B$12)</x:f>
        <x:v>0</x:v>
      </x:c>
      <x:c r="AM93" s="20" t="n">
        <x:f>IF(E93="C",AK93,IF(E93="S",AL93,0))</x:f>
        <x:v>0</x:v>
      </x:c>
      <x:c r="AN93" s="20" t="e">
        <x:f>AVERAGE(INDEX($AM:$AM,MAX(2,ROW()-1)):INDEX($AM:$AM,MIN(101,ROW()+2)))</x:f>
      </x:c>
      <x:c r="AO93" s="20" t="e">
        <x:f>AN93*Pile_Input!$B$7</x:f>
      </x:c>
      <x:c r="AP93" s="20" t="e">
        <x:f>AF93+AO93</x:f>
      </x:c>
      <x:c r="AQ93" s="20" t="e">
        <x:f>AP93/Pile_Input!$B$11</x:f>
      </x:c>
      <x:c r="AR93" s="20" t="n">
        <x:f>0.25*Pile_Input!$B$4*10</x:f>
        <x:v>875</x:v>
      </x:c>
      <x:c r="AS93" s="20" t="n">
        <x:f>Pile_Input!$B$7*AR93</x:f>
        <x:v>1649.3361431346414</x:v>
      </x:c>
    </x:row>
    <x:row r="94">
      <x:c r="A94" s="20" t="n">
        <x:f>Layer_Input!A94</x:f>
        <x:v>0</x:v>
      </x:c>
      <x:c r="B94" s="20" t="n">
        <x:f>Layer_Input!B94</x:f>
        <x:v>0</x:v>
      </x:c>
      <x:c r="C94" s="20" t="n">
        <x:f>Layer_Input!C94</x:f>
        <x:v>0</x:v>
      </x:c>
      <x:c r="D94" s="20" t="n">
        <x:f>Layer_Input!D94</x:f>
        <x:v>0</x:v>
      </x:c>
      <x:c r="E94" s="20" t="n">
        <x:f>Layer_Input!E94</x:f>
        <x:v>0</x:v>
      </x:c>
      <x:c r="F94" s="20" t="n">
        <x:f>Layer_Input!F94</x:f>
        <x:v>0</x:v>
      </x:c>
      <x:c r="G94" s="20" t="n">
        <x:f>Layer_Input!G94</x:f>
        <x:v>0</x:v>
      </x:c>
      <x:c r="H94" s="20" t="n">
        <x:f>Layer_Input!H94</x:f>
        <x:v>0</x:v>
      </x:c>
      <x:c r="I94" s="20" t="n">
        <x:f>MAX(C94-B94,0)</x:f>
        <x:v>0</x:v>
      </x:c>
      <x:c r="J94" s="20" t="n">
        <x:f>MAX(IF(B94&lt;Pile_Input!$B$9,D94,D94-Pile_Input!$B$10),0)</x:f>
        <x:v>0</x:v>
      </x:c>
      <x:c r="K94" s="20" t="n">
        <x:f>J94*I94</x:f>
        <x:v>0</x:v>
      </x:c>
      <x:c r="L94" s="20" t="str">
        <x:f>IF(B94="","",SUM($K$2:K94))</x:f>
      </x:c>
      <x:c r="M94" s="20" t="str">
        <x:f>IF(B94="","",L94-K94/2)</x:f>
      </x:c>
      <x:c r="N94" s="20" t="n">
        <x:f>IF(ISNUMBER(H94),0.52*H94,"")</x:f>
        <x:v>0</x:v>
      </x:c>
      <x:c r="O94" s="20" t="n">
        <x:f>IF(E94="C",AVERAGE(G94,N94),0)</x:f>
        <x:v>0</x:v>
      </x:c>
      <x:c r="P94" s="20" t="n">
        <x:f>IF(E94="C",0.93*EXP(-0.0536*O94),0)</x:f>
        <x:v>0</x:v>
      </x:c>
      <x:c r="Q94" s="20" t="n">
        <x:f>IF(E94="S",0.77*LOG10(20*95.76/MAX(M94*9.81,0.0001)),0)</x:f>
        <x:v>0</x:v>
      </x:c>
      <x:c r="R94" s="20" t="n">
        <x:f>Q94*H94</x:f>
        <x:v>0</x:v>
      </x:c>
      <x:c r="S94" s="20" t="n">
        <x:f>IF(E94="S",27.1+0.3*R94-0.00054*R94^2,0)</x:f>
        <x:v>0</x:v>
      </x:c>
      <x:c r="T94" s="20" t="n">
        <x:f>IF(E94="S",1-SIN(RADIANS(S94)),0)</x:f>
        <x:v>0</x:v>
      </x:c>
      <x:c r="U94" s="20" t="n">
        <x:f>1.5*T94</x:f>
        <x:v>0</x:v>
      </x:c>
      <x:c r="V94" s="20" t="n">
        <x:f>0.85*T94</x:f>
        <x:v>0</x:v>
      </x:c>
      <x:c r="W94" s="20" t="n">
        <x:f>IF(Pile_Input!$B$5&gt;1.5,U94,V94)</x:f>
        <x:v>0</x:v>
      </x:c>
      <x:c r="X94" s="20" t="n">
        <x:f>0.75*S94</x:f>
        <x:v>0</x:v>
      </x:c>
      <x:c r="Y94" s="20" t="n">
        <x:f>IF(E94="S",W94*TAN(RADIANS(X94)),0)</x:f>
        <x:v>0</x:v>
      </x:c>
      <x:c r="Z94" s="20" t="n">
        <x:f>P94*O94</x:f>
        <x:v>0</x:v>
      </x:c>
      <x:c r="AA94" s="20" t="n">
        <x:f>Y94*M94</x:f>
        <x:v>0</x:v>
      </x:c>
      <x:c r="AB94" s="20" t="n">
        <x:f>IF(E94="C",Z94,IF(E94="S",AA94,0))</x:f>
        <x:v>0</x:v>
      </x:c>
      <x:c r="AC94" s="20" t="n">
        <x:f>IF(B94&lt;Pile_Input!$B$8,0,MAX(AB94,0))</x:f>
        <x:v>0</x:v>
      </x:c>
      <x:c r="AD94" s="20" t="n">
        <x:f>Pile_Input!$B$7*I94</x:f>
        <x:v>0</x:v>
      </x:c>
      <x:c r="AE94" s="20" t="n">
        <x:f>AC94*AD94</x:f>
        <x:v>0</x:v>
      </x:c>
      <x:c r="AF94" s="20" t="n">
        <x:f>SUM($AE$2:AE94)</x:f>
        <x:v>2.417753626718237</x:v>
      </x:c>
      <x:c r="AG94" s="20" t="n">
        <x:f>IF(E94="S",EXP(PI()*TAN(RADIANS(S94)))*TAN(RADIANS(45+S94/2))^2*(1+TAN(RADIANS(S94))),0)</x:f>
        <x:v>0</x:v>
      </x:c>
      <x:c r="AH94" s="20" t="n">
        <x:f>IF(E94="S",0.6934*EXP(0.0974*S94),0)</x:f>
        <x:v>0</x:v>
      </x:c>
      <x:c r="AI94" s="20" t="n">
        <x:f>IF(Pile_Input!$B$5&gt;1.5,AG94,AH94)</x:f>
        <x:v>0</x:v>
      </x:c>
      <x:c r="AJ94" s="20" t="n">
        <x:f>IF(E94="S",2*(AI94+1)*TAN(RADIANS(S94)),0)</x:f>
        <x:v>0</x:v>
      </x:c>
      <x:c r="AK94" s="20" t="n">
        <x:f>MIN(9*O94,Pile_Input!$B$12)</x:f>
        <x:v>0</x:v>
      </x:c>
      <x:c r="AL94" s="20" t="n">
        <x:f>MIN((AI94-1)*L94,Pile_Input!$B$12)</x:f>
        <x:v>0</x:v>
      </x:c>
      <x:c r="AM94" s="20" t="n">
        <x:f>IF(E94="C",AK94,IF(E94="S",AL94,0))</x:f>
        <x:v>0</x:v>
      </x:c>
      <x:c r="AN94" s="20" t="e">
        <x:f>AVERAGE(INDEX($AM:$AM,MAX(2,ROW()-1)):INDEX($AM:$AM,MIN(101,ROW()+2)))</x:f>
      </x:c>
      <x:c r="AO94" s="20" t="e">
        <x:f>AN94*Pile_Input!$B$7</x:f>
      </x:c>
      <x:c r="AP94" s="20" t="e">
        <x:f>AF94+AO94</x:f>
      </x:c>
      <x:c r="AQ94" s="20" t="e">
        <x:f>AP94/Pile_Input!$B$11</x:f>
      </x:c>
      <x:c r="AR94" s="20" t="n">
        <x:f>0.25*Pile_Input!$B$4*10</x:f>
        <x:v>875</x:v>
      </x:c>
      <x:c r="AS94" s="20" t="n">
        <x:f>Pile_Input!$B$7*AR94</x:f>
        <x:v>1649.3361431346414</x:v>
      </x:c>
    </x:row>
    <x:row r="95">
      <x:c r="A95" s="20" t="n">
        <x:f>Layer_Input!A95</x:f>
        <x:v>0</x:v>
      </x:c>
      <x:c r="B95" s="20" t="n">
        <x:f>Layer_Input!B95</x:f>
        <x:v>0</x:v>
      </x:c>
      <x:c r="C95" s="20" t="n">
        <x:f>Layer_Input!C95</x:f>
        <x:v>0</x:v>
      </x:c>
      <x:c r="D95" s="20" t="n">
        <x:f>Layer_Input!D95</x:f>
        <x:v>0</x:v>
      </x:c>
      <x:c r="E95" s="20" t="n">
        <x:f>Layer_Input!E95</x:f>
        <x:v>0</x:v>
      </x:c>
      <x:c r="F95" s="20" t="n">
        <x:f>Layer_Input!F95</x:f>
        <x:v>0</x:v>
      </x:c>
      <x:c r="G95" s="20" t="n">
        <x:f>Layer_Input!G95</x:f>
        <x:v>0</x:v>
      </x:c>
      <x:c r="H95" s="20" t="n">
        <x:f>Layer_Input!H95</x:f>
        <x:v>0</x:v>
      </x:c>
      <x:c r="I95" s="20" t="n">
        <x:f>MAX(C95-B95,0)</x:f>
        <x:v>0</x:v>
      </x:c>
      <x:c r="J95" s="20" t="n">
        <x:f>MAX(IF(B95&lt;Pile_Input!$B$9,D95,D95-Pile_Input!$B$10),0)</x:f>
        <x:v>0</x:v>
      </x:c>
      <x:c r="K95" s="20" t="n">
        <x:f>J95*I95</x:f>
        <x:v>0</x:v>
      </x:c>
      <x:c r="L95" s="20" t="str">
        <x:f>IF(B95="","",SUM($K$2:K95))</x:f>
      </x:c>
      <x:c r="M95" s="20" t="str">
        <x:f>IF(B95="","",L95-K95/2)</x:f>
      </x:c>
      <x:c r="N95" s="20" t="n">
        <x:f>IF(ISNUMBER(H95),0.52*H95,"")</x:f>
        <x:v>0</x:v>
      </x:c>
      <x:c r="O95" s="20" t="n">
        <x:f>IF(E95="C",AVERAGE(G95,N95),0)</x:f>
        <x:v>0</x:v>
      </x:c>
      <x:c r="P95" s="20" t="n">
        <x:f>IF(E95="C",0.93*EXP(-0.0536*O95),0)</x:f>
        <x:v>0</x:v>
      </x:c>
      <x:c r="Q95" s="20" t="n">
        <x:f>IF(E95="S",0.77*LOG10(20*95.76/MAX(M95*9.81,0.0001)),0)</x:f>
        <x:v>0</x:v>
      </x:c>
      <x:c r="R95" s="20" t="n">
        <x:f>Q95*H95</x:f>
        <x:v>0</x:v>
      </x:c>
      <x:c r="S95" s="20" t="n">
        <x:f>IF(E95="S",27.1+0.3*R95-0.00054*R95^2,0)</x:f>
        <x:v>0</x:v>
      </x:c>
      <x:c r="T95" s="20" t="n">
        <x:f>IF(E95="S",1-SIN(RADIANS(S95)),0)</x:f>
        <x:v>0</x:v>
      </x:c>
      <x:c r="U95" s="20" t="n">
        <x:f>1.5*T95</x:f>
        <x:v>0</x:v>
      </x:c>
      <x:c r="V95" s="20" t="n">
        <x:f>0.85*T95</x:f>
        <x:v>0</x:v>
      </x:c>
      <x:c r="W95" s="20" t="n">
        <x:f>IF(Pile_Input!$B$5&gt;1.5,U95,V95)</x:f>
        <x:v>0</x:v>
      </x:c>
      <x:c r="X95" s="20" t="n">
        <x:f>0.75*S95</x:f>
        <x:v>0</x:v>
      </x:c>
      <x:c r="Y95" s="20" t="n">
        <x:f>IF(E95="S",W95*TAN(RADIANS(X95)),0)</x:f>
        <x:v>0</x:v>
      </x:c>
      <x:c r="Z95" s="20" t="n">
        <x:f>P95*O95</x:f>
        <x:v>0</x:v>
      </x:c>
      <x:c r="AA95" s="20" t="n">
        <x:f>Y95*M95</x:f>
        <x:v>0</x:v>
      </x:c>
      <x:c r="AB95" s="20" t="n">
        <x:f>IF(E95="C",Z95,IF(E95="S",AA95,0))</x:f>
        <x:v>0</x:v>
      </x:c>
      <x:c r="AC95" s="20" t="n">
        <x:f>IF(B95&lt;Pile_Input!$B$8,0,MAX(AB95,0))</x:f>
        <x:v>0</x:v>
      </x:c>
      <x:c r="AD95" s="20" t="n">
        <x:f>Pile_Input!$B$7*I95</x:f>
        <x:v>0</x:v>
      </x:c>
      <x:c r="AE95" s="20" t="n">
        <x:f>AC95*AD95</x:f>
        <x:v>0</x:v>
      </x:c>
      <x:c r="AF95" s="20" t="n">
        <x:f>SUM($AE$2:AE95)</x:f>
        <x:v>2.417753626718237</x:v>
      </x:c>
      <x:c r="AG95" s="20" t="n">
        <x:f>IF(E95="S",EXP(PI()*TAN(RADIANS(S95)))*TAN(RADIANS(45+S95/2))^2*(1+TAN(RADIANS(S95))),0)</x:f>
        <x:v>0</x:v>
      </x:c>
      <x:c r="AH95" s="20" t="n">
        <x:f>IF(E95="S",0.6934*EXP(0.0974*S95),0)</x:f>
        <x:v>0</x:v>
      </x:c>
      <x:c r="AI95" s="20" t="n">
        <x:f>IF(Pile_Input!$B$5&gt;1.5,AG95,AH95)</x:f>
        <x:v>0</x:v>
      </x:c>
      <x:c r="AJ95" s="20" t="n">
        <x:f>IF(E95="S",2*(AI95+1)*TAN(RADIANS(S95)),0)</x:f>
        <x:v>0</x:v>
      </x:c>
      <x:c r="AK95" s="20" t="n">
        <x:f>MIN(9*O95,Pile_Input!$B$12)</x:f>
        <x:v>0</x:v>
      </x:c>
      <x:c r="AL95" s="20" t="n">
        <x:f>MIN((AI95-1)*L95,Pile_Input!$B$12)</x:f>
        <x:v>0</x:v>
      </x:c>
      <x:c r="AM95" s="20" t="n">
        <x:f>IF(E95="C",AK95,IF(E95="S",AL95,0))</x:f>
        <x:v>0</x:v>
      </x:c>
      <x:c r="AN95" s="20" t="e">
        <x:f>AVERAGE(INDEX($AM:$AM,MAX(2,ROW()-1)):INDEX($AM:$AM,MIN(101,ROW()+2)))</x:f>
      </x:c>
      <x:c r="AO95" s="20" t="e">
        <x:f>AN95*Pile_Input!$B$7</x:f>
      </x:c>
      <x:c r="AP95" s="20" t="e">
        <x:f>AF95+AO95</x:f>
      </x:c>
      <x:c r="AQ95" s="20" t="e">
        <x:f>AP95/Pile_Input!$B$11</x:f>
      </x:c>
      <x:c r="AR95" s="20" t="n">
        <x:f>0.25*Pile_Input!$B$4*10</x:f>
        <x:v>875</x:v>
      </x:c>
      <x:c r="AS95" s="20" t="n">
        <x:f>Pile_Input!$B$7*AR95</x:f>
        <x:v>1649.3361431346414</x:v>
      </x:c>
    </x:row>
    <x:row r="96">
      <x:c r="A96" s="20" t="n">
        <x:f>Layer_Input!A96</x:f>
        <x:v>0</x:v>
      </x:c>
      <x:c r="B96" s="20" t="n">
        <x:f>Layer_Input!B96</x:f>
        <x:v>0</x:v>
      </x:c>
      <x:c r="C96" s="20" t="n">
        <x:f>Layer_Input!C96</x:f>
        <x:v>0</x:v>
      </x:c>
      <x:c r="D96" s="20" t="n">
        <x:f>Layer_Input!D96</x:f>
        <x:v>0</x:v>
      </x:c>
      <x:c r="E96" s="20" t="n">
        <x:f>Layer_Input!E96</x:f>
        <x:v>0</x:v>
      </x:c>
      <x:c r="F96" s="20" t="n">
        <x:f>Layer_Input!F96</x:f>
        <x:v>0</x:v>
      </x:c>
      <x:c r="G96" s="20" t="n">
        <x:f>Layer_Input!G96</x:f>
        <x:v>0</x:v>
      </x:c>
      <x:c r="H96" s="20" t="n">
        <x:f>Layer_Input!H96</x:f>
        <x:v>0</x:v>
      </x:c>
      <x:c r="I96" s="20" t="n">
        <x:f>MAX(C96-B96,0)</x:f>
        <x:v>0</x:v>
      </x:c>
      <x:c r="J96" s="20" t="n">
        <x:f>MAX(IF(B96&lt;Pile_Input!$B$9,D96,D96-Pile_Input!$B$10),0)</x:f>
        <x:v>0</x:v>
      </x:c>
      <x:c r="K96" s="20" t="n">
        <x:f>J96*I96</x:f>
        <x:v>0</x:v>
      </x:c>
      <x:c r="L96" s="20" t="str">
        <x:f>IF(B96="","",SUM($K$2:K96))</x:f>
      </x:c>
      <x:c r="M96" s="20" t="str">
        <x:f>IF(B96="","",L96-K96/2)</x:f>
      </x:c>
      <x:c r="N96" s="20" t="n">
        <x:f>IF(ISNUMBER(H96),0.52*H96,"")</x:f>
        <x:v>0</x:v>
      </x:c>
      <x:c r="O96" s="20" t="n">
        <x:f>IF(E96="C",AVERAGE(G96,N96),0)</x:f>
        <x:v>0</x:v>
      </x:c>
      <x:c r="P96" s="20" t="n">
        <x:f>IF(E96="C",0.93*EXP(-0.0536*O96),0)</x:f>
        <x:v>0</x:v>
      </x:c>
      <x:c r="Q96" s="20" t="n">
        <x:f>IF(E96="S",0.77*LOG10(20*95.76/MAX(M96*9.81,0.0001)),0)</x:f>
        <x:v>0</x:v>
      </x:c>
      <x:c r="R96" s="20" t="n">
        <x:f>Q96*H96</x:f>
        <x:v>0</x:v>
      </x:c>
      <x:c r="S96" s="20" t="n">
        <x:f>IF(E96="S",27.1+0.3*R96-0.00054*R96^2,0)</x:f>
        <x:v>0</x:v>
      </x:c>
      <x:c r="T96" s="20" t="n">
        <x:f>IF(E96="S",1-SIN(RADIANS(S96)),0)</x:f>
        <x:v>0</x:v>
      </x:c>
      <x:c r="U96" s="20" t="n">
        <x:f>1.5*T96</x:f>
        <x:v>0</x:v>
      </x:c>
      <x:c r="V96" s="20" t="n">
        <x:f>0.85*T96</x:f>
        <x:v>0</x:v>
      </x:c>
      <x:c r="W96" s="20" t="n">
        <x:f>IF(Pile_Input!$B$5&gt;1.5,U96,V96)</x:f>
        <x:v>0</x:v>
      </x:c>
      <x:c r="X96" s="20" t="n">
        <x:f>0.75*S96</x:f>
        <x:v>0</x:v>
      </x:c>
      <x:c r="Y96" s="20" t="n">
        <x:f>IF(E96="S",W96*TAN(RADIANS(X96)),0)</x:f>
        <x:v>0</x:v>
      </x:c>
      <x:c r="Z96" s="20" t="n">
        <x:f>P96*O96</x:f>
        <x:v>0</x:v>
      </x:c>
      <x:c r="AA96" s="20" t="n">
        <x:f>Y96*M96</x:f>
        <x:v>0</x:v>
      </x:c>
      <x:c r="AB96" s="20" t="n">
        <x:f>IF(E96="C",Z96,IF(E96="S",AA96,0))</x:f>
        <x:v>0</x:v>
      </x:c>
      <x:c r="AC96" s="20" t="n">
        <x:f>IF(B96&lt;Pile_Input!$B$8,0,MAX(AB96,0))</x:f>
        <x:v>0</x:v>
      </x:c>
      <x:c r="AD96" s="20" t="n">
        <x:f>Pile_Input!$B$7*I96</x:f>
        <x:v>0</x:v>
      </x:c>
      <x:c r="AE96" s="20" t="n">
        <x:f>AC96*AD96</x:f>
        <x:v>0</x:v>
      </x:c>
      <x:c r="AF96" s="20" t="n">
        <x:f>SUM($AE$2:AE96)</x:f>
        <x:v>2.417753626718237</x:v>
      </x:c>
      <x:c r="AG96" s="20" t="n">
        <x:f>IF(E96="S",EXP(PI()*TAN(RADIANS(S96)))*TAN(RADIANS(45+S96/2))^2*(1+TAN(RADIANS(S96))),0)</x:f>
        <x:v>0</x:v>
      </x:c>
      <x:c r="AH96" s="20" t="n">
        <x:f>IF(E96="S",0.6934*EXP(0.0974*S96),0)</x:f>
        <x:v>0</x:v>
      </x:c>
      <x:c r="AI96" s="20" t="n">
        <x:f>IF(Pile_Input!$B$5&gt;1.5,AG96,AH96)</x:f>
        <x:v>0</x:v>
      </x:c>
      <x:c r="AJ96" s="20" t="n">
        <x:f>IF(E96="S",2*(AI96+1)*TAN(RADIANS(S96)),0)</x:f>
        <x:v>0</x:v>
      </x:c>
      <x:c r="AK96" s="20" t="n">
        <x:f>MIN(9*O96,Pile_Input!$B$12)</x:f>
        <x:v>0</x:v>
      </x:c>
      <x:c r="AL96" s="20" t="n">
        <x:f>MIN((AI96-1)*L96,Pile_Input!$B$12)</x:f>
        <x:v>0</x:v>
      </x:c>
      <x:c r="AM96" s="20" t="n">
        <x:f>IF(E96="C",AK96,IF(E96="S",AL96,0))</x:f>
        <x:v>0</x:v>
      </x:c>
      <x:c r="AN96" s="20" t="e">
        <x:f>AVERAGE(INDEX($AM:$AM,MAX(2,ROW()-1)):INDEX($AM:$AM,MIN(101,ROW()+2)))</x:f>
      </x:c>
      <x:c r="AO96" s="20" t="e">
        <x:f>AN96*Pile_Input!$B$7</x:f>
      </x:c>
      <x:c r="AP96" s="20" t="e">
        <x:f>AF96+AO96</x:f>
      </x:c>
      <x:c r="AQ96" s="20" t="e">
        <x:f>AP96/Pile_Input!$B$11</x:f>
      </x:c>
      <x:c r="AR96" s="20" t="n">
        <x:f>0.25*Pile_Input!$B$4*10</x:f>
        <x:v>875</x:v>
      </x:c>
      <x:c r="AS96" s="20" t="n">
        <x:f>Pile_Input!$B$7*AR96</x:f>
        <x:v>1649.3361431346414</x:v>
      </x:c>
    </x:row>
    <x:row r="97">
      <x:c r="A97" s="20" t="n">
        <x:f>Layer_Input!A97</x:f>
        <x:v>0</x:v>
      </x:c>
      <x:c r="B97" s="20" t="n">
        <x:f>Layer_Input!B97</x:f>
        <x:v>0</x:v>
      </x:c>
      <x:c r="C97" s="20" t="n">
        <x:f>Layer_Input!C97</x:f>
        <x:v>0</x:v>
      </x:c>
      <x:c r="D97" s="20" t="n">
        <x:f>Layer_Input!D97</x:f>
        <x:v>0</x:v>
      </x:c>
      <x:c r="E97" s="20" t="n">
        <x:f>Layer_Input!E97</x:f>
        <x:v>0</x:v>
      </x:c>
      <x:c r="F97" s="20" t="n">
        <x:f>Layer_Input!F97</x:f>
        <x:v>0</x:v>
      </x:c>
      <x:c r="G97" s="20" t="n">
        <x:f>Layer_Input!G97</x:f>
        <x:v>0</x:v>
      </x:c>
      <x:c r="H97" s="20" t="n">
        <x:f>Layer_Input!H97</x:f>
        <x:v>0</x:v>
      </x:c>
      <x:c r="I97" s="20" t="n">
        <x:f>MAX(C97-B97,0)</x:f>
        <x:v>0</x:v>
      </x:c>
      <x:c r="J97" s="20" t="n">
        <x:f>MAX(IF(B97&lt;Pile_Input!$B$9,D97,D97-Pile_Input!$B$10),0)</x:f>
        <x:v>0</x:v>
      </x:c>
      <x:c r="K97" s="20" t="n">
        <x:f>J97*I97</x:f>
        <x:v>0</x:v>
      </x:c>
      <x:c r="L97" s="20" t="str">
        <x:f>IF(B97="","",SUM($K$2:K97))</x:f>
      </x:c>
      <x:c r="M97" s="20" t="str">
        <x:f>IF(B97="","",L97-K97/2)</x:f>
      </x:c>
      <x:c r="N97" s="20" t="n">
        <x:f>IF(ISNUMBER(H97),0.52*H97,"")</x:f>
        <x:v>0</x:v>
      </x:c>
      <x:c r="O97" s="20" t="n">
        <x:f>IF(E97="C",AVERAGE(G97,N97),0)</x:f>
        <x:v>0</x:v>
      </x:c>
      <x:c r="P97" s="20" t="n">
        <x:f>IF(E97="C",0.93*EXP(-0.0536*O97),0)</x:f>
        <x:v>0</x:v>
      </x:c>
      <x:c r="Q97" s="20" t="n">
        <x:f>IF(E97="S",0.77*LOG10(20*95.76/MAX(M97*9.81,0.0001)),0)</x:f>
        <x:v>0</x:v>
      </x:c>
      <x:c r="R97" s="20" t="n">
        <x:f>Q97*H97</x:f>
        <x:v>0</x:v>
      </x:c>
      <x:c r="S97" s="20" t="n">
        <x:f>IF(E97="S",27.1+0.3*R97-0.00054*R97^2,0)</x:f>
        <x:v>0</x:v>
      </x:c>
      <x:c r="T97" s="20" t="n">
        <x:f>IF(E97="S",1-SIN(RADIANS(S97)),0)</x:f>
        <x:v>0</x:v>
      </x:c>
      <x:c r="U97" s="20" t="n">
        <x:f>1.5*T97</x:f>
        <x:v>0</x:v>
      </x:c>
      <x:c r="V97" s="20" t="n">
        <x:f>0.85*T97</x:f>
        <x:v>0</x:v>
      </x:c>
      <x:c r="W97" s="20" t="n">
        <x:f>IF(Pile_Input!$B$5&gt;1.5,U97,V97)</x:f>
        <x:v>0</x:v>
      </x:c>
      <x:c r="X97" s="20" t="n">
        <x:f>0.75*S97</x:f>
        <x:v>0</x:v>
      </x:c>
      <x:c r="Y97" s="20" t="n">
        <x:f>IF(E97="S",W97*TAN(RADIANS(X97)),0)</x:f>
        <x:v>0</x:v>
      </x:c>
      <x:c r="Z97" s="20" t="n">
        <x:f>P97*O97</x:f>
        <x:v>0</x:v>
      </x:c>
      <x:c r="AA97" s="20" t="n">
        <x:f>Y97*M97</x:f>
        <x:v>0</x:v>
      </x:c>
      <x:c r="AB97" s="20" t="n">
        <x:f>IF(E97="C",Z97,IF(E97="S",AA97,0))</x:f>
        <x:v>0</x:v>
      </x:c>
      <x:c r="AC97" s="20" t="n">
        <x:f>IF(B97&lt;Pile_Input!$B$8,0,MAX(AB97,0))</x:f>
        <x:v>0</x:v>
      </x:c>
      <x:c r="AD97" s="20" t="n">
        <x:f>Pile_Input!$B$7*I97</x:f>
        <x:v>0</x:v>
      </x:c>
      <x:c r="AE97" s="20" t="n">
        <x:f>AC97*AD97</x:f>
        <x:v>0</x:v>
      </x:c>
      <x:c r="AF97" s="20" t="n">
        <x:f>SUM($AE$2:AE97)</x:f>
        <x:v>2.417753626718237</x:v>
      </x:c>
      <x:c r="AG97" s="20" t="n">
        <x:f>IF(E97="S",EXP(PI()*TAN(RADIANS(S97)))*TAN(RADIANS(45+S97/2))^2*(1+TAN(RADIANS(S97))),0)</x:f>
        <x:v>0</x:v>
      </x:c>
      <x:c r="AH97" s="20" t="n">
        <x:f>IF(E97="S",0.6934*EXP(0.0974*S97),0)</x:f>
        <x:v>0</x:v>
      </x:c>
      <x:c r="AI97" s="20" t="n">
        <x:f>IF(Pile_Input!$B$5&gt;1.5,AG97,AH97)</x:f>
        <x:v>0</x:v>
      </x:c>
      <x:c r="AJ97" s="20" t="n">
        <x:f>IF(E97="S",2*(AI97+1)*TAN(RADIANS(S97)),0)</x:f>
        <x:v>0</x:v>
      </x:c>
      <x:c r="AK97" s="20" t="n">
        <x:f>MIN(9*O97,Pile_Input!$B$12)</x:f>
        <x:v>0</x:v>
      </x:c>
      <x:c r="AL97" s="20" t="n">
        <x:f>MIN((AI97-1)*L97,Pile_Input!$B$12)</x:f>
        <x:v>0</x:v>
      </x:c>
      <x:c r="AM97" s="20" t="n">
        <x:f>IF(E97="C",AK97,IF(E97="S",AL97,0))</x:f>
        <x:v>0</x:v>
      </x:c>
      <x:c r="AN97" s="20" t="e">
        <x:f>AVERAGE(INDEX($AM:$AM,MAX(2,ROW()-1)):INDEX($AM:$AM,MIN(101,ROW()+2)))</x:f>
      </x:c>
      <x:c r="AO97" s="20" t="e">
        <x:f>AN97*Pile_Input!$B$7</x:f>
      </x:c>
      <x:c r="AP97" s="20" t="e">
        <x:f>AF97+AO97</x:f>
      </x:c>
      <x:c r="AQ97" s="20" t="e">
        <x:f>AP97/Pile_Input!$B$11</x:f>
      </x:c>
      <x:c r="AR97" s="20" t="n">
        <x:f>0.25*Pile_Input!$B$4*10</x:f>
        <x:v>875</x:v>
      </x:c>
      <x:c r="AS97" s="20" t="n">
        <x:f>Pile_Input!$B$7*AR97</x:f>
        <x:v>1649.3361431346414</x:v>
      </x:c>
    </x:row>
    <x:row r="98">
      <x:c r="A98" s="20" t="n">
        <x:f>Layer_Input!A98</x:f>
        <x:v>0</x:v>
      </x:c>
      <x:c r="B98" s="20" t="n">
        <x:f>Layer_Input!B98</x:f>
        <x:v>0</x:v>
      </x:c>
      <x:c r="C98" s="20" t="n">
        <x:f>Layer_Input!C98</x:f>
        <x:v>0</x:v>
      </x:c>
      <x:c r="D98" s="20" t="n">
        <x:f>Layer_Input!D98</x:f>
        <x:v>0</x:v>
      </x:c>
      <x:c r="E98" s="20" t="n">
        <x:f>Layer_Input!E98</x:f>
        <x:v>0</x:v>
      </x:c>
      <x:c r="F98" s="20" t="n">
        <x:f>Layer_Input!F98</x:f>
        <x:v>0</x:v>
      </x:c>
      <x:c r="G98" s="20" t="n">
        <x:f>Layer_Input!G98</x:f>
        <x:v>0</x:v>
      </x:c>
      <x:c r="H98" s="20" t="n">
        <x:f>Layer_Input!H98</x:f>
        <x:v>0</x:v>
      </x:c>
      <x:c r="I98" s="20" t="n">
        <x:f>MAX(C98-B98,0)</x:f>
        <x:v>0</x:v>
      </x:c>
      <x:c r="J98" s="20" t="n">
        <x:f>MAX(IF(B98&lt;Pile_Input!$B$9,D98,D98-Pile_Input!$B$10),0)</x:f>
        <x:v>0</x:v>
      </x:c>
      <x:c r="K98" s="20" t="n">
        <x:f>J98*I98</x:f>
        <x:v>0</x:v>
      </x:c>
      <x:c r="L98" s="20" t="str">
        <x:f>IF(B98="","",SUM($K$2:K98))</x:f>
      </x:c>
      <x:c r="M98" s="20" t="str">
        <x:f>IF(B98="","",L98-K98/2)</x:f>
      </x:c>
      <x:c r="N98" s="20" t="n">
        <x:f>IF(ISNUMBER(H98),0.52*H98,"")</x:f>
        <x:v>0</x:v>
      </x:c>
      <x:c r="O98" s="20" t="n">
        <x:f>IF(E98="C",AVERAGE(G98,N98),0)</x:f>
        <x:v>0</x:v>
      </x:c>
      <x:c r="P98" s="20" t="n">
        <x:f>IF(E98="C",0.93*EXP(-0.0536*O98),0)</x:f>
        <x:v>0</x:v>
      </x:c>
      <x:c r="Q98" s="20" t="n">
        <x:f>IF(E98="S",0.77*LOG10(20*95.76/MAX(M98*9.81,0.0001)),0)</x:f>
        <x:v>0</x:v>
      </x:c>
      <x:c r="R98" s="20" t="n">
        <x:f>Q98*H98</x:f>
        <x:v>0</x:v>
      </x:c>
      <x:c r="S98" s="20" t="n">
        <x:f>IF(E98="S",27.1+0.3*R98-0.00054*R98^2,0)</x:f>
        <x:v>0</x:v>
      </x:c>
      <x:c r="T98" s="20" t="n">
        <x:f>IF(E98="S",1-SIN(RADIANS(S98)),0)</x:f>
        <x:v>0</x:v>
      </x:c>
      <x:c r="U98" s="20" t="n">
        <x:f>1.5*T98</x:f>
        <x:v>0</x:v>
      </x:c>
      <x:c r="V98" s="20" t="n">
        <x:f>0.85*T98</x:f>
        <x:v>0</x:v>
      </x:c>
      <x:c r="W98" s="20" t="n">
        <x:f>IF(Pile_Input!$B$5&gt;1.5,U98,V98)</x:f>
        <x:v>0</x:v>
      </x:c>
      <x:c r="X98" s="20" t="n">
        <x:f>0.75*S98</x:f>
        <x:v>0</x:v>
      </x:c>
      <x:c r="Y98" s="20" t="n">
        <x:f>IF(E98="S",W98*TAN(RADIANS(X98)),0)</x:f>
        <x:v>0</x:v>
      </x:c>
      <x:c r="Z98" s="20" t="n">
        <x:f>P98*O98</x:f>
        <x:v>0</x:v>
      </x:c>
      <x:c r="AA98" s="20" t="n">
        <x:f>Y98*M98</x:f>
        <x:v>0</x:v>
      </x:c>
      <x:c r="AB98" s="20" t="n">
        <x:f>IF(E98="C",Z98,IF(E98="S",AA98,0))</x:f>
        <x:v>0</x:v>
      </x:c>
      <x:c r="AC98" s="20" t="n">
        <x:f>IF(B98&lt;Pile_Input!$B$8,0,MAX(AB98,0))</x:f>
        <x:v>0</x:v>
      </x:c>
      <x:c r="AD98" s="20" t="n">
        <x:f>Pile_Input!$B$7*I98</x:f>
        <x:v>0</x:v>
      </x:c>
      <x:c r="AE98" s="20" t="n">
        <x:f>AC98*AD98</x:f>
        <x:v>0</x:v>
      </x:c>
      <x:c r="AF98" s="20" t="n">
        <x:f>SUM($AE$2:AE98)</x:f>
        <x:v>2.417753626718237</x:v>
      </x:c>
      <x:c r="AG98" s="20" t="n">
        <x:f>IF(E98="S",EXP(PI()*TAN(RADIANS(S98)))*TAN(RADIANS(45+S98/2))^2*(1+TAN(RADIANS(S98))),0)</x:f>
        <x:v>0</x:v>
      </x:c>
      <x:c r="AH98" s="20" t="n">
        <x:f>IF(E98="S",0.6934*EXP(0.0974*S98),0)</x:f>
        <x:v>0</x:v>
      </x:c>
      <x:c r="AI98" s="20" t="n">
        <x:f>IF(Pile_Input!$B$5&gt;1.5,AG98,AH98)</x:f>
        <x:v>0</x:v>
      </x:c>
      <x:c r="AJ98" s="20" t="n">
        <x:f>IF(E98="S",2*(AI98+1)*TAN(RADIANS(S98)),0)</x:f>
        <x:v>0</x:v>
      </x:c>
      <x:c r="AK98" s="20" t="n">
        <x:f>MIN(9*O98,Pile_Input!$B$12)</x:f>
        <x:v>0</x:v>
      </x:c>
      <x:c r="AL98" s="20" t="n">
        <x:f>MIN((AI98-1)*L98,Pile_Input!$B$12)</x:f>
        <x:v>0</x:v>
      </x:c>
      <x:c r="AM98" s="20" t="n">
        <x:f>IF(E98="C",AK98,IF(E98="S",AL98,0))</x:f>
        <x:v>0</x:v>
      </x:c>
      <x:c r="AN98" s="20" t="e">
        <x:f>AVERAGE(INDEX($AM:$AM,MAX(2,ROW()-1)):INDEX($AM:$AM,MIN(101,ROW()+2)))</x:f>
      </x:c>
      <x:c r="AO98" s="20" t="e">
        <x:f>AN98*Pile_Input!$B$7</x:f>
      </x:c>
      <x:c r="AP98" s="20" t="e">
        <x:f>AF98+AO98</x:f>
      </x:c>
      <x:c r="AQ98" s="20" t="e">
        <x:f>AP98/Pile_Input!$B$11</x:f>
      </x:c>
      <x:c r="AR98" s="20" t="n">
        <x:f>0.25*Pile_Input!$B$4*10</x:f>
        <x:v>875</x:v>
      </x:c>
      <x:c r="AS98" s="20" t="n">
        <x:f>Pile_Input!$B$7*AR98</x:f>
        <x:v>1649.3361431346414</x:v>
      </x:c>
    </x:row>
    <x:row r="99">
      <x:c r="A99" s="20" t="n">
        <x:f>Layer_Input!A99</x:f>
        <x:v>0</x:v>
      </x:c>
      <x:c r="B99" s="20" t="n">
        <x:f>Layer_Input!B99</x:f>
        <x:v>0</x:v>
      </x:c>
      <x:c r="C99" s="20" t="n">
        <x:f>Layer_Input!C99</x:f>
        <x:v>0</x:v>
      </x:c>
      <x:c r="D99" s="20" t="n">
        <x:f>Layer_Input!D99</x:f>
        <x:v>0</x:v>
      </x:c>
      <x:c r="E99" s="20" t="n">
        <x:f>Layer_Input!E99</x:f>
        <x:v>0</x:v>
      </x:c>
      <x:c r="F99" s="20" t="n">
        <x:f>Layer_Input!F99</x:f>
        <x:v>0</x:v>
      </x:c>
      <x:c r="G99" s="20" t="n">
        <x:f>Layer_Input!G99</x:f>
        <x:v>0</x:v>
      </x:c>
      <x:c r="H99" s="20" t="n">
        <x:f>Layer_Input!H99</x:f>
        <x:v>0</x:v>
      </x:c>
      <x:c r="I99" s="20" t="n">
        <x:f>MAX(C99-B99,0)</x:f>
        <x:v>0</x:v>
      </x:c>
      <x:c r="J99" s="20" t="n">
        <x:f>MAX(IF(B99&lt;Pile_Input!$B$9,D99,D99-Pile_Input!$B$10),0)</x:f>
        <x:v>0</x:v>
      </x:c>
      <x:c r="K99" s="20" t="n">
        <x:f>J99*I99</x:f>
        <x:v>0</x:v>
      </x:c>
      <x:c r="L99" s="20" t="str">
        <x:f>IF(B99="","",SUM($K$2:K99))</x:f>
      </x:c>
      <x:c r="M99" s="20" t="str">
        <x:f>IF(B99="","",L99-K99/2)</x:f>
      </x:c>
      <x:c r="N99" s="20" t="n">
        <x:f>IF(ISNUMBER(H99),0.52*H99,"")</x:f>
        <x:v>0</x:v>
      </x:c>
      <x:c r="O99" s="20" t="n">
        <x:f>IF(E99="C",AVERAGE(G99,N99),0)</x:f>
        <x:v>0</x:v>
      </x:c>
      <x:c r="P99" s="20" t="n">
        <x:f>IF(E99="C",0.93*EXP(-0.0536*O99),0)</x:f>
        <x:v>0</x:v>
      </x:c>
      <x:c r="Q99" s="20" t="n">
        <x:f>IF(E99="S",0.77*LOG10(20*95.76/MAX(M99*9.81,0.0001)),0)</x:f>
        <x:v>0</x:v>
      </x:c>
      <x:c r="R99" s="20" t="n">
        <x:f>Q99*H99</x:f>
        <x:v>0</x:v>
      </x:c>
      <x:c r="S99" s="20" t="n">
        <x:f>IF(E99="S",27.1+0.3*R99-0.00054*R99^2,0)</x:f>
        <x:v>0</x:v>
      </x:c>
      <x:c r="T99" s="20" t="n">
        <x:f>IF(E99="S",1-SIN(RADIANS(S99)),0)</x:f>
        <x:v>0</x:v>
      </x:c>
      <x:c r="U99" s="20" t="n">
        <x:f>1.5*T99</x:f>
        <x:v>0</x:v>
      </x:c>
      <x:c r="V99" s="20" t="n">
        <x:f>0.85*T99</x:f>
        <x:v>0</x:v>
      </x:c>
      <x:c r="W99" s="20" t="n">
        <x:f>IF(Pile_Input!$B$5&gt;1.5,U99,V99)</x:f>
        <x:v>0</x:v>
      </x:c>
      <x:c r="X99" s="20" t="n">
        <x:f>0.75*S99</x:f>
        <x:v>0</x:v>
      </x:c>
      <x:c r="Y99" s="20" t="n">
        <x:f>IF(E99="S",W99*TAN(RADIANS(X99)),0)</x:f>
        <x:v>0</x:v>
      </x:c>
      <x:c r="Z99" s="20" t="n">
        <x:f>P99*O99</x:f>
        <x:v>0</x:v>
      </x:c>
      <x:c r="AA99" s="20" t="n">
        <x:f>Y99*M99</x:f>
        <x:v>0</x:v>
      </x:c>
      <x:c r="AB99" s="20" t="n">
        <x:f>IF(E99="C",Z99,IF(E99="S",AA99,0))</x:f>
        <x:v>0</x:v>
      </x:c>
      <x:c r="AC99" s="20" t="n">
        <x:f>IF(B99&lt;Pile_Input!$B$8,0,MAX(AB99,0))</x:f>
        <x:v>0</x:v>
      </x:c>
      <x:c r="AD99" s="20" t="n">
        <x:f>Pile_Input!$B$7*I99</x:f>
        <x:v>0</x:v>
      </x:c>
      <x:c r="AE99" s="20" t="n">
        <x:f>AC99*AD99</x:f>
        <x:v>0</x:v>
      </x:c>
      <x:c r="AF99" s="20" t="n">
        <x:f>SUM($AE$2:AE99)</x:f>
        <x:v>2.417753626718237</x:v>
      </x:c>
      <x:c r="AG99" s="20" t="n">
        <x:f>IF(E99="S",EXP(PI()*TAN(RADIANS(S99)))*TAN(RADIANS(45+S99/2))^2*(1+TAN(RADIANS(S99))),0)</x:f>
        <x:v>0</x:v>
      </x:c>
      <x:c r="AH99" s="20" t="n">
        <x:f>IF(E99="S",0.6934*EXP(0.0974*S99),0)</x:f>
        <x:v>0</x:v>
      </x:c>
      <x:c r="AI99" s="20" t="n">
        <x:f>IF(Pile_Input!$B$5&gt;1.5,AG99,AH99)</x:f>
        <x:v>0</x:v>
      </x:c>
      <x:c r="AJ99" s="20" t="n">
        <x:f>IF(E99="S",2*(AI99+1)*TAN(RADIANS(S99)),0)</x:f>
        <x:v>0</x:v>
      </x:c>
      <x:c r="AK99" s="20" t="n">
        <x:f>MIN(9*O99,Pile_Input!$B$12)</x:f>
        <x:v>0</x:v>
      </x:c>
      <x:c r="AL99" s="20" t="n">
        <x:f>MIN((AI99-1)*L99,Pile_Input!$B$12)</x:f>
        <x:v>0</x:v>
      </x:c>
      <x:c r="AM99" s="20" t="n">
        <x:f>IF(E99="C",AK99,IF(E99="S",AL99,0))</x:f>
        <x:v>0</x:v>
      </x:c>
      <x:c r="AN99" s="20" t="e">
        <x:f>AVERAGE(INDEX($AM:$AM,MAX(2,ROW()-1)):INDEX($AM:$AM,MIN(101,ROW()+2)))</x:f>
      </x:c>
      <x:c r="AO99" s="20" t="e">
        <x:f>AN99*Pile_Input!$B$7</x:f>
      </x:c>
      <x:c r="AP99" s="20" t="e">
        <x:f>AF99+AO99</x:f>
      </x:c>
      <x:c r="AQ99" s="20" t="e">
        <x:f>AP99/Pile_Input!$B$11</x:f>
      </x:c>
      <x:c r="AR99" s="20" t="n">
        <x:f>0.25*Pile_Input!$B$4*10</x:f>
        <x:v>875</x:v>
      </x:c>
      <x:c r="AS99" s="20" t="n">
        <x:f>Pile_Input!$B$7*AR99</x:f>
        <x:v>1649.3361431346414</x:v>
      </x:c>
    </x:row>
    <x:row r="100">
      <x:c r="A100" s="20" t="n">
        <x:f>Layer_Input!A100</x:f>
        <x:v>0</x:v>
      </x:c>
      <x:c r="B100" s="20" t="n">
        <x:f>Layer_Input!B100</x:f>
        <x:v>0</x:v>
      </x:c>
      <x:c r="C100" s="20" t="n">
        <x:f>Layer_Input!C100</x:f>
        <x:v>0</x:v>
      </x:c>
      <x:c r="D100" s="20" t="n">
        <x:f>Layer_Input!D100</x:f>
        <x:v>0</x:v>
      </x:c>
      <x:c r="E100" s="20" t="n">
        <x:f>Layer_Input!E100</x:f>
        <x:v>0</x:v>
      </x:c>
      <x:c r="F100" s="20" t="n">
        <x:f>Layer_Input!F100</x:f>
        <x:v>0</x:v>
      </x:c>
      <x:c r="G100" s="20" t="n">
        <x:f>Layer_Input!G100</x:f>
        <x:v>0</x:v>
      </x:c>
      <x:c r="H100" s="20" t="n">
        <x:f>Layer_Input!H100</x:f>
        <x:v>0</x:v>
      </x:c>
      <x:c r="I100" s="20" t="n">
        <x:f>MAX(C100-B100,0)</x:f>
        <x:v>0</x:v>
      </x:c>
      <x:c r="J100" s="20" t="n">
        <x:f>MAX(IF(B100&lt;Pile_Input!$B$9,D100,D100-Pile_Input!$B$10),0)</x:f>
        <x:v>0</x:v>
      </x:c>
      <x:c r="K100" s="20" t="n">
        <x:f>J100*I100</x:f>
        <x:v>0</x:v>
      </x:c>
      <x:c r="L100" s="20" t="str">
        <x:f>IF(B100="","",SUM($K$2:K100))</x:f>
      </x:c>
      <x:c r="M100" s="20" t="str">
        <x:f>IF(B100="","",L100-K100/2)</x:f>
      </x:c>
      <x:c r="N100" s="20" t="n">
        <x:f>IF(ISNUMBER(H100),0.52*H100,"")</x:f>
        <x:v>0</x:v>
      </x:c>
      <x:c r="O100" s="20" t="n">
        <x:f>IF(E100="C",AVERAGE(G100,N100),0)</x:f>
        <x:v>0</x:v>
      </x:c>
      <x:c r="P100" s="20" t="n">
        <x:f>IF(E100="C",0.93*EXP(-0.0536*O100),0)</x:f>
        <x:v>0</x:v>
      </x:c>
      <x:c r="Q100" s="20" t="n">
        <x:f>IF(E100="S",0.77*LOG10(20*95.76/MAX(M100*9.81,0.0001)),0)</x:f>
        <x:v>0</x:v>
      </x:c>
      <x:c r="R100" s="20" t="n">
        <x:f>Q100*H100</x:f>
        <x:v>0</x:v>
      </x:c>
      <x:c r="S100" s="20" t="n">
        <x:f>IF(E100="S",27.1+0.3*R100-0.00054*R100^2,0)</x:f>
        <x:v>0</x:v>
      </x:c>
      <x:c r="T100" s="20" t="n">
        <x:f>IF(E100="S",1-SIN(RADIANS(S100)),0)</x:f>
        <x:v>0</x:v>
      </x:c>
      <x:c r="U100" s="20" t="n">
        <x:f>1.5*T100</x:f>
        <x:v>0</x:v>
      </x:c>
      <x:c r="V100" s="20" t="n">
        <x:f>0.85*T100</x:f>
        <x:v>0</x:v>
      </x:c>
      <x:c r="W100" s="20" t="n">
        <x:f>IF(Pile_Input!$B$5&gt;1.5,U100,V100)</x:f>
        <x:v>0</x:v>
      </x:c>
      <x:c r="X100" s="20" t="n">
        <x:f>0.75*S100</x:f>
        <x:v>0</x:v>
      </x:c>
      <x:c r="Y100" s="20" t="n">
        <x:f>IF(E100="S",W100*TAN(RADIANS(X100)),0)</x:f>
        <x:v>0</x:v>
      </x:c>
      <x:c r="Z100" s="20" t="n">
        <x:f>P100*O100</x:f>
        <x:v>0</x:v>
      </x:c>
      <x:c r="AA100" s="20" t="n">
        <x:f>Y100*M100</x:f>
        <x:v>0</x:v>
      </x:c>
      <x:c r="AB100" s="20" t="n">
        <x:f>IF(E100="C",Z100,IF(E100="S",AA100,0))</x:f>
        <x:v>0</x:v>
      </x:c>
      <x:c r="AC100" s="20" t="n">
        <x:f>IF(B100&lt;Pile_Input!$B$8,0,MAX(AB100,0))</x:f>
        <x:v>0</x:v>
      </x:c>
      <x:c r="AD100" s="20" t="n">
        <x:f>Pile_Input!$B$7*I100</x:f>
        <x:v>0</x:v>
      </x:c>
      <x:c r="AE100" s="20" t="n">
        <x:f>AC100*AD100</x:f>
        <x:v>0</x:v>
      </x:c>
      <x:c r="AF100" s="20" t="n">
        <x:f>SUM($AE$2:AE100)</x:f>
        <x:v>2.417753626718237</x:v>
      </x:c>
      <x:c r="AG100" s="20" t="n">
        <x:f>IF(E100="S",EXP(PI()*TAN(RADIANS(S100)))*TAN(RADIANS(45+S100/2))^2*(1+TAN(RADIANS(S100))),0)</x:f>
        <x:v>0</x:v>
      </x:c>
      <x:c r="AH100" s="20" t="n">
        <x:f>IF(E100="S",0.6934*EXP(0.0974*S100),0)</x:f>
        <x:v>0</x:v>
      </x:c>
      <x:c r="AI100" s="20" t="n">
        <x:f>IF(Pile_Input!$B$5&gt;1.5,AG100,AH100)</x:f>
        <x:v>0</x:v>
      </x:c>
      <x:c r="AJ100" s="20" t="n">
        <x:f>IF(E100="S",2*(AI100+1)*TAN(RADIANS(S100)),0)</x:f>
        <x:v>0</x:v>
      </x:c>
      <x:c r="AK100" s="20" t="n">
        <x:f>MIN(9*O100,Pile_Input!$B$12)</x:f>
        <x:v>0</x:v>
      </x:c>
      <x:c r="AL100" s="20" t="n">
        <x:f>MIN((AI100-1)*L100,Pile_Input!$B$12)</x:f>
        <x:v>0</x:v>
      </x:c>
      <x:c r="AM100" s="20" t="n">
        <x:f>IF(E100="C",AK100,IF(E100="S",AL100,0))</x:f>
        <x:v>0</x:v>
      </x:c>
      <x:c r="AN100" s="20" t="e">
        <x:f>AVERAGE(INDEX($AM:$AM,MAX(2,ROW()-1)):INDEX($AM:$AM,MIN(101,ROW()+2)))</x:f>
      </x:c>
      <x:c r="AO100" s="20" t="e">
        <x:f>AN100*Pile_Input!$B$7</x:f>
      </x:c>
      <x:c r="AP100" s="20" t="e">
        <x:f>AF100+AO100</x:f>
      </x:c>
      <x:c r="AQ100" s="20" t="e">
        <x:f>AP100/Pile_Input!$B$11</x:f>
      </x:c>
      <x:c r="AR100" s="20" t="n">
        <x:f>0.25*Pile_Input!$B$4*10</x:f>
        <x:v>875</x:v>
      </x:c>
      <x:c r="AS100" s="20" t="n">
        <x:f>Pile_Input!$B$7*AR100</x:f>
        <x:v>1649.3361431346414</x:v>
      </x:c>
    </x:row>
    <x:row r="101">
      <x:c r="A101" s="20" t="n">
        <x:f>Layer_Input!A101</x:f>
        <x:v>0</x:v>
      </x:c>
      <x:c r="B101" s="20" t="n">
        <x:f>Layer_Input!B101</x:f>
        <x:v>0</x:v>
      </x:c>
      <x:c r="C101" s="20" t="n">
        <x:f>Layer_Input!C101</x:f>
        <x:v>0</x:v>
      </x:c>
      <x:c r="D101" s="20" t="n">
        <x:f>Layer_Input!D101</x:f>
        <x:v>0</x:v>
      </x:c>
      <x:c r="E101" s="20" t="n">
        <x:f>Layer_Input!E101</x:f>
        <x:v>0</x:v>
      </x:c>
      <x:c r="F101" s="20" t="n">
        <x:f>Layer_Input!F101</x:f>
        <x:v>0</x:v>
      </x:c>
      <x:c r="G101" s="20" t="n">
        <x:f>Layer_Input!G101</x:f>
        <x:v>0</x:v>
      </x:c>
      <x:c r="H101" s="20" t="n">
        <x:f>Layer_Input!H101</x:f>
        <x:v>0</x:v>
      </x:c>
      <x:c r="I101" s="20" t="n">
        <x:f>MAX(C101-B101,0)</x:f>
        <x:v>0</x:v>
      </x:c>
      <x:c r="J101" s="20" t="n">
        <x:f>MAX(IF(B101&lt;Pile_Input!$B$9,D101,D101-Pile_Input!$B$10),0)</x:f>
        <x:v>0</x:v>
      </x:c>
      <x:c r="K101" s="20" t="n">
        <x:f>J101*I101</x:f>
        <x:v>0</x:v>
      </x:c>
      <x:c r="L101" s="20" t="str">
        <x:f>IF(B101="","",SUM($K$2:K101))</x:f>
      </x:c>
      <x:c r="M101" s="20" t="str">
        <x:f>IF(B101="","",L101-K101/2)</x:f>
      </x:c>
      <x:c r="N101" s="20" t="n">
        <x:f>IF(ISNUMBER(H101),0.52*H101,"")</x:f>
        <x:v>0</x:v>
      </x:c>
      <x:c r="O101" s="20" t="n">
        <x:f>IF(E101="C",AVERAGE(G101,N101),0)</x:f>
        <x:v>0</x:v>
      </x:c>
      <x:c r="P101" s="20" t="n">
        <x:f>IF(E101="C",0.93*EXP(-0.0536*O101),0)</x:f>
        <x:v>0</x:v>
      </x:c>
      <x:c r="Q101" s="20" t="n">
        <x:f>IF(E101="S",0.77*LOG10(20*95.76/MAX(M101*9.81,0.0001)),0)</x:f>
        <x:v>0</x:v>
      </x:c>
      <x:c r="R101" s="20" t="n">
        <x:f>Q101*H101</x:f>
        <x:v>0</x:v>
      </x:c>
      <x:c r="S101" s="20" t="n">
        <x:f>IF(E101="S",27.1+0.3*R101-0.00054*R101^2,0)</x:f>
        <x:v>0</x:v>
      </x:c>
      <x:c r="T101" s="20" t="n">
        <x:f>IF(E101="S",1-SIN(RADIANS(S101)),0)</x:f>
        <x:v>0</x:v>
      </x:c>
      <x:c r="U101" s="20" t="n">
        <x:f>1.5*T101</x:f>
        <x:v>0</x:v>
      </x:c>
      <x:c r="V101" s="20" t="n">
        <x:f>0.85*T101</x:f>
        <x:v>0</x:v>
      </x:c>
      <x:c r="W101" s="20" t="n">
        <x:f>IF(Pile_Input!$B$5&gt;1.5,U101,V101)</x:f>
        <x:v>0</x:v>
      </x:c>
      <x:c r="X101" s="20" t="n">
        <x:f>0.75*S101</x:f>
        <x:v>0</x:v>
      </x:c>
      <x:c r="Y101" s="20" t="n">
        <x:f>IF(E101="S",W101*TAN(RADIANS(X101)),0)</x:f>
        <x:v>0</x:v>
      </x:c>
      <x:c r="Z101" s="20" t="n">
        <x:f>P101*O101</x:f>
        <x:v>0</x:v>
      </x:c>
      <x:c r="AA101" s="20" t="n">
        <x:f>Y101*M101</x:f>
        <x:v>0</x:v>
      </x:c>
      <x:c r="AB101" s="20" t="n">
        <x:f>IF(E101="C",Z101,IF(E101="S",AA101,0))</x:f>
        <x:v>0</x:v>
      </x:c>
      <x:c r="AC101" s="20" t="n">
        <x:f>IF(B101&lt;Pile_Input!$B$8,0,MAX(AB101,0))</x:f>
        <x:v>0</x:v>
      </x:c>
      <x:c r="AD101" s="20" t="n">
        <x:f>Pile_Input!$B$7*I101</x:f>
        <x:v>0</x:v>
      </x:c>
      <x:c r="AE101" s="20" t="n">
        <x:f>AC101*AD101</x:f>
        <x:v>0</x:v>
      </x:c>
      <x:c r="AF101" s="20" t="n">
        <x:f>SUM($AE$2:AE101)</x:f>
        <x:v>2.417753626718237</x:v>
      </x:c>
      <x:c r="AG101" s="20" t="n">
        <x:f>IF(E101="S",EXP(PI()*TAN(RADIANS(S101)))*TAN(RADIANS(45+S101/2))^2*(1+TAN(RADIANS(S101))),0)</x:f>
        <x:v>0</x:v>
      </x:c>
      <x:c r="AH101" s="20" t="n">
        <x:f>IF(E101="S",0.6934*EXP(0.0974*S101),0)</x:f>
        <x:v>0</x:v>
      </x:c>
      <x:c r="AI101" s="20" t="n">
        <x:f>IF(Pile_Input!$B$5&gt;1.5,AG101,AH101)</x:f>
        <x:v>0</x:v>
      </x:c>
      <x:c r="AJ101" s="20" t="n">
        <x:f>IF(E101="S",2*(AI101+1)*TAN(RADIANS(S101)),0)</x:f>
        <x:v>0</x:v>
      </x:c>
      <x:c r="AK101" s="20" t="n">
        <x:f>MIN(9*O101,Pile_Input!$B$12)</x:f>
        <x:v>0</x:v>
      </x:c>
      <x:c r="AL101" s="20" t="n">
        <x:f>MIN((AI101-1)*L101,Pile_Input!$B$12)</x:f>
        <x:v>0</x:v>
      </x:c>
      <x:c r="AM101" s="20" t="n">
        <x:f>IF(E101="C",AK101,IF(E101="S",AL101,0))</x:f>
        <x:v>0</x:v>
      </x:c>
      <x:c r="AN101" s="20" t="e">
        <x:f>AVERAGE(INDEX($AM:$AM,MAX(2,ROW()-1)):INDEX($AM:$AM,MIN(101,ROW()+2)))</x:f>
      </x:c>
      <x:c r="AO101" s="20" t="e">
        <x:f>AN101*Pile_Input!$B$7</x:f>
      </x:c>
      <x:c r="AP101" s="20" t="e">
        <x:f>AF101+AO101</x:f>
      </x:c>
      <x:c r="AQ101" s="20" t="e">
        <x:f>AP101/Pile_Input!$B$11</x:f>
      </x:c>
      <x:c r="AR101" s="20" t="n">
        <x:f>0.25*Pile_Input!$B$4*10</x:f>
        <x:v>875</x:v>
      </x:c>
      <x:c r="AS101" s="20" t="n">
        <x:f>Pile_Input!$B$7*AR101</x:f>
        <x:v>1649.3361431346414</x:v>
      </x:c>
    </x:row>
  </x:sheetData>
  <x:pageMargins left="0.7" right="0.7" top="0.75" bottom="0.75" header="0.3" footer="0.3"/>
</x:worksheet>
</file>