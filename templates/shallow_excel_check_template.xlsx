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a844f285bc47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allow_Input" sheetId="1" r:id="R8a5b77fb8bd04b29"/>
    <x:sheet xmlns:r="http://schemas.openxmlformats.org/officeDocument/2006/relationships" name="Shallow_Calc" sheetId="2" r:id="R531feae74bf146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4"/>
      <x:color rgb="FF0F172A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D4ED8"/>
      </x:patternFill>
    </x:fill>
    <x:fill>
      <x:patternFill patternType="solid">
        <x:fgColor rgb="FFDBEAFE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a901a605ac41e2" /><Relationship Type="http://schemas.openxmlformats.org/officeDocument/2006/relationships/theme" Target="/xl/theme/theme1.xml" Id="R21d471d4c62a4880" /><Relationship Type="http://schemas.openxmlformats.org/officeDocument/2006/relationships/sharedStrings" Target="/xl/sharedStrings.xml" Id="R3b6716aeb552455b" /><Relationship Type="http://schemas.openxmlformats.org/officeDocument/2006/relationships/worksheet" Target="/xl/worksheets/sheet1.xml" Id="R8a5b77fb8bd04b29" /><Relationship Type="http://schemas.openxmlformats.org/officeDocument/2006/relationships/worksheet" Target="/xl/worksheets/sheet2.xml" Id="R531feae74bf1462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</x:cols>
  <x:sheetData>
    <x:row r="1">
      <x:c r="A1" s="12" t="str">
        <x:v>case_id</x:v>
      </x:c>
      <x:c r="B1" s="12" t="str">
        <x:v>footing_shape</x:v>
      </x:c>
      <x:c r="C1" s="12" t="str">
        <x:v>analysis_type</x:v>
      </x:c>
      <x:c r="D1" s="12" t="str">
        <x:v>B_m</x:v>
      </x:c>
      <x:c r="E1" s="12" t="str">
        <x:v>L_m</x:v>
      </x:c>
      <x:c r="F1" s="12" t="str">
        <x:v>D_m</x:v>
      </x:c>
      <x:c r="G1" s="12" t="str">
        <x:v>t_m</x:v>
      </x:c>
      <x:c r="H1" s="12" t="str">
        <x:v>Cx_m</x:v>
      </x:c>
      <x:c r="I1" s="12" t="str">
        <x:v>Cy_m</x:v>
      </x:c>
      <x:c r="J1" s="12" t="str">
        <x:v>Ox_m</x:v>
      </x:c>
      <x:c r="K1" s="12" t="str">
        <x:v>Oy_m</x:v>
      </x:c>
      <x:c r="L1" s="12" t="str">
        <x:v>water_table_depth_m</x:v>
      </x:c>
      <x:c r="M1" s="12" t="str">
        <x:v>Qc_t</x:v>
      </x:c>
      <x:c r="N1" s="12" t="str">
        <x:v>Mcx_tm</x:v>
      </x:c>
      <x:c r="O1" s="12" t="str">
        <x:v>Mcy_tm</x:v>
      </x:c>
      <x:c r="P1" s="12" t="str">
        <x:v>Hx_t</x:v>
      </x:c>
      <x:c r="Q1" s="12" t="str">
        <x:v>Hy_t</x:v>
      </x:c>
      <x:c r="R1" s="12" t="str">
        <x:v>g1u_t_m3</x:v>
      </x:c>
      <x:c r="S1" s="12" t="str">
        <x:v>g1sat_t_m3</x:v>
      </x:c>
      <x:c r="T1" s="12" t="str">
        <x:v>c1_t_m2</x:v>
      </x:c>
      <x:c r="U1" s="12" t="str">
        <x:v>phi1_deg</x:v>
      </x:c>
      <x:c r="V1" s="12" t="str">
        <x:v>g2u_t_m3</x:v>
      </x:c>
      <x:c r="W1" s="12" t="str">
        <x:v>g2sat_t_m3</x:v>
      </x:c>
      <x:c r="X1" s="12" t="str">
        <x:v>c2_t_m2</x:v>
      </x:c>
      <x:c r="Y1" s="12" t="str">
        <x:v>phi2_deg</x:v>
      </x:c>
      <x:c r="Z1" s="12" t="str">
        <x:v>gc_t_m3</x:v>
      </x:c>
      <x:c r="AA1" s="12" t="str">
        <x:v>gw_t_m3</x:v>
      </x:c>
      <x:c r="AB1" s="12" t="str">
        <x:v>FS</x:v>
      </x:c>
      <x:c r="AC1" s="12" t="str">
        <x:v>result_unit</x:v>
      </x:c>
    </x:row>
    <x:row r="2">
      <x:c r="A2" t="str">
        <x:v>SF-1</x:v>
      </x:c>
      <x:c r="B2" t="str">
        <x:v>S</x:v>
      </x:c>
      <x:c r="C2" t="str">
        <x:v>T</x:v>
      </x:c>
      <x:c r="D2" t="n">
        <x:v>1.5</x:v>
      </x:c>
      <x:c r="E2" t="n">
        <x:v>1</x:v>
      </x:c>
      <x:c r="F2" t="n">
        <x:v>1</x:v>
      </x:c>
      <x:c r="G2" t="n">
        <x:v>0.2</x:v>
      </x:c>
      <x:c r="H2" t="n">
        <x:v>0.2</x:v>
      </x:c>
      <x:c r="I2" t="n">
        <x:v>1</x:v>
      </x:c>
      <x:c r="J2" t="n">
        <x:v>0.1</x:v>
      </x:c>
      <x:c r="K2" t="n">
        <x:v>0</x:v>
      </x:c>
      <x:c r="L2" t="n">
        <x:v>0</x:v>
      </x:c>
      <x:c r="M2" t="n">
        <x:v>20</x:v>
      </x:c>
      <x:c r="N2" t="n">
        <x:v>0</x:v>
      </x:c>
      <x:c r="O2" t="n">
        <x:v>2</x:v>
      </x:c>
      <x:c r="P2" t="n">
        <x:v>1.5</x:v>
      </x:c>
      <x:c r="Q2" t="n">
        <x:v>0</x:v>
      </x:c>
      <x:c r="R2" t="n">
        <x:v>1.9</x:v>
      </x:c>
      <x:c r="S2" t="n">
        <x:v>2</x:v>
      </x:c>
      <x:c r="T2" t="n">
        <x:v>1</x:v>
      </x:c>
      <x:c r="U2" t="n">
        <x:v>30</x:v>
      </x:c>
      <x:c r="V2" t="n">
        <x:v>1.5</x:v>
      </x:c>
      <x:c r="W2" t="n">
        <x:v>1.6</x:v>
      </x:c>
      <x:c r="X2" t="n">
        <x:v>2</x:v>
      </x:c>
      <x:c r="Y2" t="n">
        <x:v>33</x:v>
      </x:c>
      <x:c r="Z2" t="n">
        <x:v>2.4</x:v>
      </x:c>
      <x:c r="AA2" t="n">
        <x:v>1</x:v>
      </x:c>
      <x:c r="AB2" t="n">
        <x:v>3</x:v>
      </x:c>
      <x:c r="AC2" t="str">
        <x:v>ton</x:v>
      </x:c>
    </x:row>
  </x:sheetData>
  <x:dataValidations count="3">
    <x:dataValidation type="list" sqref="B2:B101">
      <x:formula1>"S,R"</x:formula1>
    </x:dataValidation>
    <x:dataValidation type="list" sqref="C2:C101">
      <x:formula1>"T,E"</x:formula1>
    </x:dataValidation>
    <x:dataValidation type="list" sqref="AC2:AC101">
      <x:formula1>"ton,kN"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  <x:col min="32" max="32" width="15" hidden="0" customWidth="1"/>
    <x:col min="33" max="33" width="15" hidden="0" customWidth="1"/>
    <x:col min="34" max="34" width="15" hidden="0" customWidth="1"/>
    <x:col min="35" max="35" width="15" hidden="0" customWidth="1"/>
    <x:col min="36" max="36" width="15" hidden="0" customWidth="1"/>
    <x:col min="37" max="37" width="15" hidden="0" customWidth="1"/>
    <x:col min="38" max="38" width="15" hidden="0" customWidth="1"/>
    <x:col min="39" max="39" width="15" hidden="0" customWidth="1"/>
  </x:cols>
  <x:sheetData>
    <x:row r="1">
      <x:c r="A1" s="12" t="str">
        <x:v>case_id</x:v>
      </x:c>
      <x:c r="B1" s="12" t="str">
        <x:v>shape</x:v>
      </x:c>
      <x:c r="C1" s="12" t="str">
        <x:v>analysis_type</x:v>
      </x:c>
      <x:c r="D1" s="12" t="str">
        <x:v>B_m</x:v>
      </x:c>
      <x:c r="E1" s="12" t="str">
        <x:v>L_m</x:v>
      </x:c>
      <x:c r="F1" s="12" t="str">
        <x:v>D_m</x:v>
      </x:c>
      <x:c r="G1" s="12" t="str">
        <x:v>Qt</x:v>
      </x:c>
      <x:c r="H1" s="12" t="str">
        <x:v>qult</x:v>
      </x:c>
      <x:c r="I1" s="12" t="str">
        <x:v>qall</x:v>
      </x:c>
      <x:c r="J1" s="12" t="str">
        <x:v>Qult</x:v>
      </x:c>
      <x:c r="K1" s="12" t="str">
        <x:v>Qall</x:v>
      </x:c>
      <x:c r="L1" s="12" t="str">
        <x:v>qmax</x:v>
      </x:c>
      <x:c r="M1" s="12" t="str">
        <x:v>qmin</x:v>
      </x:c>
      <x:c r="N1" s="12" t="str">
        <x:v>eB_m</x:v>
      </x:c>
      <x:c r="O1" s="12" t="str">
        <x:v>eL_m</x:v>
      </x:c>
      <x:c r="P1" s="12" t="str">
        <x:v>Bx_m</x:v>
      </x:c>
      <x:c r="Q1" s="12" t="str">
        <x:v>Ly_m</x:v>
      </x:c>
      <x:c r="R1" s="12" t="str">
        <x:v>B_eff_m</x:v>
      </x:c>
      <x:c r="S1" s="12" t="str">
        <x:v>L_eff_m</x:v>
      </x:c>
      <x:c r="T1" s="12" t="str">
        <x:v>A_eff_m2</x:v>
      </x:c>
      <x:c r="U1" s="12" t="str">
        <x:v>beta_deg</x:v>
      </x:c>
      <x:c r="V1" s="12" t="str">
        <x:v>Nq</x:v>
      </x:c>
      <x:c r="W1" s="12" t="str">
        <x:v>Nc</x:v>
      </x:c>
      <x:c r="X1" s="12" t="str">
        <x:v>Ny</x:v>
      </x:c>
      <x:c r="Y1" s="12" t="str">
        <x:v>Fcs</x:v>
      </x:c>
      <x:c r="Z1" s="12" t="str">
        <x:v>Fqs</x:v>
      </x:c>
      <x:c r="AA1" s="12" t="str">
        <x:v>Fys</x:v>
      </x:c>
      <x:c r="AB1" s="12" t="str">
        <x:v>Fcd</x:v>
      </x:c>
      <x:c r="AC1" s="12" t="str">
        <x:v>Fqd</x:v>
      </x:c>
      <x:c r="AD1" s="12" t="str">
        <x:v>Fyd</x:v>
      </x:c>
      <x:c r="AE1" s="12" t="str">
        <x:v>Fci</x:v>
      </x:c>
      <x:c r="AF1" s="12" t="str">
        <x:v>Fqi</x:v>
      </x:c>
      <x:c r="AG1" s="12" t="str">
        <x:v>Fyi</x:v>
      </x:c>
      <x:c r="AH1" s="12" t="str">
        <x:v>FS_using_Qt</x:v>
      </x:c>
      <x:c r="AI1" s="12" t="str">
        <x:v>FS_using_qmax</x:v>
      </x:c>
      <x:c r="AJ1" s="12" t="str">
        <x:v>criterion_Qall_ge_Qt</x:v>
      </x:c>
      <x:c r="AK1" s="12" t="str">
        <x:v>criterion_qall_ge_qmax</x:v>
      </x:c>
      <x:c r="AL1" s="12" t="str">
        <x:v>criterion_qmin_ge_0</x:v>
      </x:c>
      <x:c r="AM1" s="12" t="str">
        <x:v>foundation_class</x:v>
      </x:c>
    </x:row>
    <x:row r="2">
      <x:c r="A2" s="16" t="str">
        <x:f>Shallow_Input!A2</x:f>
        <x:v>SF-1</x:v>
      </x:c>
      <x:c r="B2" s="16" t="str">
        <x:f>Shallow_Input!B2</x:f>
        <x:v>S</x:v>
      </x:c>
      <x:c r="C2" s="16" t="str">
        <x:f>Shallow_Input!C2</x:f>
        <x:v>T</x:v>
      </x:c>
      <x:c r="D2" s="16" t="n">
        <x:f>Shallow_Input!D2</x:f>
        <x:v>1.5</x:v>
      </x:c>
      <x:c r="E2" s="16" t="n">
        <x:f>IF(B2="S",1,Shallow_Input!E2)</x:f>
        <x:v>1</x:v>
      </x:c>
      <x:c r="F2" s="16" t="n">
        <x:f>Shallow_Input!F2</x:f>
        <x:v>1</x:v>
      </x:c>
      <x:c r="G2" s="16" t="e">
        <x:f>LET(B0,D2,L0,E2,D0,F2,t,Shallow_Input!G2,Cx,Shallow_Input!H2,Cy,Shallow_Input!I2,Ox,Shallow_Input!J2,Oy,IF(B2="S",0,Shallow_Input!K2),dw,Shallow_Input!L2,Qc,Shallow_Input!M2,g1u,Shallow_Input!R2,g1sat,Shallow_Input!S2,gc,Shallow_Input!Z2,g1ave,IF(dw&gt;=D0,g1u,IF(dw&lt;=0,g1sat,(g1u*dw+g1sat*(D0-dw))/D0)),g1ave*MAX(B0*L0-Cx*Cy,0)*MAX(D0-t,0)+gc*Cx*Cy*MAX(D0-t,0)+t*B0*L0*gc+Qc)</x:f>
      </x:c>
      <x:c r="H2" s="16" t="e">
        <x:f>LET(shape,B2,B0,D2,L0,E2,D0,F2,dw,Shallow_Input!L2,g1u,Shallow_Input!R2,g1sat,Shallow_Input!S2,gw,Shallow_Input!AA2,g2u,Shallow_Input!V2,g2sat,Shallow_Input!W2,analysis,C2,c2,Shallow_Input!X2,phi1,Shallow_Input!U2,phi2,Shallow_Input!Y2,Bef,R2,Nq,V2,Nc,W2,Ny,X2,Fcs,Y2,Fqs,Z2,Fys,AA2,Fcd,AB2,Fqd,AC2,Fyd,AD2,Fci,AE2,Fqi,AF2,Fyi,AG2,g1ave,IF(dw&gt;=D0,g1u,IF(dw&lt;=0,g1sat,(g1u*dw+g1sat*(D0-dw))/D0)),g1eff,IF(dw&gt;=D0,g1u,IF(dw&lt;=0,g1sat-gw,(g1u*dw+(g1sat-gw)*(D0-dw))/D0)),g2width,IF(shape="S",B0,Bef),g2ave,IF(dw&gt;=D0+g2width,g2u,IF(dw&lt;=D0,g2sat,(g2u*(dw-D0)+g2sat*(g2width-(dw-D0)))/g2width)),g2eff,IF(dw&gt;=D0+g2width,g2u,IF(dw&lt;=D0,g2sat-gw,(g2u*(dw-D0)+(g2sat-gw)*(g2width-(dw-D0)))/g2width)),g1used,IF(analysis="T",g1ave,g1eff),g2used,IF(analysis="T",g2ave,g2eff),q,g1used*D0,c2*Nc*Fcs*Fcd*Fci+q*Nq*Fqs*Fqd*Fqi+0.5*Bef*g2used*Ny*Fys*Fyd*Fyi)</x:f>
      </x:c>
      <x:c r="I2" s="16" t="e">
        <x:f>H2/Shallow_Input!AB2</x:f>
      </x:c>
      <x:c r="J2" s="16" t="e">
        <x:f>H2*T2</x:f>
      </x:c>
      <x:c r="K2" s="16" t="e">
        <x:f>I2*T2</x:f>
      </x:c>
      <x:c r="L2" s="16" t="e">
        <x:f>G2/(D2*E2)*(1+6*N2/D2+6*O2/E2)</x:f>
      </x:c>
      <x:c r="M2" s="16" t="e">
        <x:f>G2/(D2*E2)*(1-6*N2/D2-6*O2/E2)</x:f>
      </x:c>
      <x:c r="N2" s="16" t="e">
        <x:f>ABS((Shallow_Input!Z2*Shallow_Input!H2*Shallow_Input!I2*MAX(Shallow_Input!F2-Shallow_Input!G2,0)+Shallow_Input!M2)*Shallow_Input!J2+Shallow_Input!P2*Shallow_Input!F2+Shallow_Input!O2)/G2</x:f>
      </x:c>
      <x:c r="O2" s="16" t="e">
        <x:f>ABS(((Shallow_Input!Z2*Shallow_Input!H2*Shallow_Input!I2*MAX(Shallow_Input!F2-Shallow_Input!G2,0)+Shallow_Input!M2)*IF(B2="S",0,Shallow_Input!K2)+Shallow_Input!Q2*Shallow_Input!F2+IF(B2="S",0,Shallow_Input!N2))/G2)</x:f>
      </x:c>
      <x:c r="P2" s="16" t="e">
        <x:f>D2-2*N2</x:f>
      </x:c>
      <x:c r="Q2" s="16" t="e">
        <x:f>E2-2*O2</x:f>
      </x:c>
      <x:c r="R2" s="16" t="e">
        <x:f>MAX(P2,0.000001)</x:f>
      </x:c>
      <x:c r="S2" s="16" t="n">
        <x:f>IF(B2="S",1,MAX(Q2,0.000001))</x:f>
        <x:v>1</x:v>
      </x:c>
      <x:c r="T2" s="16" t="e">
        <x:f>R2*S2</x:f>
      </x:c>
      <x:c r="U2" s="16" t="e">
        <x:f>DEGREES(ATAN(SQRT(Shallow_Input!P2^2+Shallow_Input!Q2^2)/G2))</x:f>
      </x:c>
      <x:c r="V2" s="16" t="n">
        <x:f>EXP(PI()*TAN(RADIANS(Shallow_Input!Y2)))*TAN(PI()/4+RADIANS(Shallow_Input!Y2)/2)^2</x:f>
        <x:v>26.09201209919899</x:v>
      </x:c>
      <x:c r="W2" s="16" t="n">
        <x:f>IF(ABS(TAN(RADIANS(Shallow_Input!Y2)))&gt;0.0000001,(V2-1)/TAN(RADIANS(Shallow_Input!Y2)),5.14)</x:f>
        <x:v>38.638310303168126</x:v>
      </x:c>
      <x:c r="X2" s="16" t="n">
        <x:f>2*(V2+1)*TAN(RADIANS(Shallow_Input!Y2))</x:f>
        <x:v>35.1875167444373</x:v>
      </x:c>
      <x:c r="Y2" s="16" t="n">
        <x:f>IF(B2="S",1,1+R2/S2*V2/MAX(W2,0.000001))</x:f>
        <x:v>1</x:v>
      </x:c>
      <x:c r="Z2" s="16" t="n">
        <x:f>IF(B2="S",1,1+R2/S2*TAN(RADIANS(Shallow_Input!Y2)))</x:f>
        <x:v>1</x:v>
      </x:c>
      <x:c r="AA2" s="16" t="n">
        <x:f>IF(B2="S",1,1-0.4*R2/S2)</x:f>
        <x:v>1</x:v>
      </x:c>
      <x:c r="AB2" s="16" t="e">
        <x:f>1+0.4*IF(F2/MAX(R2,0.000001)&lt;=1,F2/MAX(R2,0.000001),ATAN(F2/MAX(R2,0.000001)))</x:f>
      </x:c>
      <x:c r="AC2" s="16" t="e">
        <x:f>1+2*TAN(RADIANS(Shallow_Input!U2))*(1-SIN(RADIANS(Shallow_Input!U2)))^2*IF(F2/MAX(R2,0.000001)&lt;=1,F2/MAX(R2,0.000001),ATAN(F2/MAX(R2,0.000001)))</x:f>
      </x:c>
      <x:c r="AD2" s="16" t="n">
        <x:f>1</x:f>
        <x:v>1</x:v>
      </x:c>
      <x:c r="AE2" s="16" t="e">
        <x:f>(1-U2/90)^2</x:f>
      </x:c>
      <x:c r="AF2" s="16" t="e">
        <x:f>(1-U2/90)^2</x:f>
      </x:c>
      <x:c r="AG2" s="16" t="e">
        <x:f>IF(Shallow_Input!Y2&gt;0,(1-U2/Shallow_Input!Y2)^2,1)</x:f>
      </x:c>
      <x:c r="AH2" s="16" t="e">
        <x:f>J2/MAX(G2,0.000001)</x:f>
      </x:c>
      <x:c r="AI2" s="16" t="e">
        <x:f>H2/MAX(L2,0.000001)</x:f>
      </x:c>
      <x:c r="AJ2" s="16" t="e">
        <x:f>IF(K2&gt;=G2,"OK","NG")</x:f>
      </x:c>
      <x:c r="AK2" s="16" t="e">
        <x:f>IF(I2&gt;=L2,"OK","NG")</x:f>
      </x:c>
      <x:c r="AL2" s="16" t="e">
        <x:f>IF(M2&gt;=0,"OK","NG")</x:f>
      </x:c>
      <x:c r="AM2" s="16" t="e">
        <x:f>IF(F2/MAX(R2,0.000001)&lt;=1,"Shallow","Deep")</x:f>
      </x:c>
    </x:row>
    <x:row r="3">
      <x:c r="A3" s="16" t="n">
        <x:f>Shallow_Input!A3</x:f>
        <x:v>0</x:v>
      </x:c>
      <x:c r="B3" s="16" t="n">
        <x:f>Shallow_Input!B3</x:f>
        <x:v>0</x:v>
      </x:c>
      <x:c r="C3" s="16" t="n">
        <x:f>Shallow_Input!C3</x:f>
        <x:v>0</x:v>
      </x:c>
      <x:c r="D3" s="16" t="n">
        <x:f>Shallow_Input!D3</x:f>
        <x:v>0</x:v>
      </x:c>
      <x:c r="E3" s="16" t="e">
        <x:f>IF(B3="S",1,Shallow_Input!E3)</x:f>
      </x:c>
      <x:c r="F3" s="16" t="n">
        <x:f>Shallow_Input!F3</x:f>
        <x:v>0</x:v>
      </x:c>
      <x:c r="G3" s="16" t="e">
        <x:f>LET(B0,D3,L0,E3,D0,F3,t,Shallow_Input!G3,Cx,Shallow_Input!H3,Cy,Shallow_Input!I3,Ox,Shallow_Input!J3,Oy,IF(B3="S",0,Shallow_Input!K3),dw,Shallow_Input!L3,Qc,Shallow_Input!M3,g1u,Shallow_Input!R3,g1sat,Shallow_Input!S3,gc,Shallow_Input!Z3,g1ave,IF(dw&gt;=D0,g1u,IF(dw&lt;=0,g1sat,(g1u*dw+g1sat*(D0-dw))/D0)),g1ave*MAX(B0*L0-Cx*Cy,0)*MAX(D0-t,0)+gc*Cx*Cy*MAX(D0-t,0)+t*B0*L0*gc+Qc)</x:f>
      </x:c>
      <x:c r="H3" s="16" t="e">
        <x:f>LET(shape,B3,B0,D3,L0,E3,D0,F3,dw,Shallow_Input!L3,g1u,Shallow_Input!R3,g1sat,Shallow_Input!S3,gw,Shallow_Input!AA3,g2u,Shallow_Input!V3,g2sat,Shallow_Input!W3,analysis,C3,c2,Shallow_Input!X3,phi1,Shallow_Input!U3,phi2,Shallow_Input!Y3,Bef,R3,Nq,V3,Nc,W3,Ny,X3,Fcs,Y3,Fqs,Z3,Fys,AA3,Fcd,AB3,Fqd,AC3,Fyd,AD3,Fci,AE3,Fqi,AF3,Fyi,AG3,g1ave,IF(dw&gt;=D0,g1u,IF(dw&lt;=0,g1sat,(g1u*dw+g1sat*(D0-dw))/D0)),g1eff,IF(dw&gt;=D0,g1u,IF(dw&lt;=0,g1sat-gw,(g1u*dw+(g1sat-gw)*(D0-dw))/D0)),g2width,IF(shape="S",B0,Bef),g2ave,IF(dw&gt;=D0+g2width,g2u,IF(dw&lt;=D0,g2sat,(g2u*(dw-D0)+g2sat*(g2width-(dw-D0)))/g2width)),g2eff,IF(dw&gt;=D0+g2width,g2u,IF(dw&lt;=D0,g2sat-gw,(g2u*(dw-D0)+(g2sat-gw)*(g2width-(dw-D0)))/g2width)),g1used,IF(analysis="T",g1ave,g1eff),g2used,IF(analysis="T",g2ave,g2eff),q,g1used*D0,c2*Nc*Fcs*Fcd*Fci+q*Nq*Fqs*Fqd*Fqi+0.5*Bef*g2used*Ny*Fys*Fyd*Fyi)</x:f>
      </x:c>
      <x:c r="I3" s="16" t="e">
        <x:f>H3/Shallow_Input!AB3</x:f>
      </x:c>
      <x:c r="J3" s="16" t="e">
        <x:f>H3*T3</x:f>
      </x:c>
      <x:c r="K3" s="16" t="e">
        <x:f>I3*T3</x:f>
      </x:c>
      <x:c r="L3" s="16" t="e">
        <x:f>G3/(D3*E3)*(1+6*N3/D3+6*O3/E3)</x:f>
      </x:c>
      <x:c r="M3" s="16" t="e">
        <x:f>G3/(D3*E3)*(1-6*N3/D3-6*O3/E3)</x:f>
      </x:c>
      <x:c r="N3" s="16" t="e">
        <x:f>ABS((Shallow_Input!Z3*Shallow_Input!H3*Shallow_Input!I3*MAX(Shallow_Input!F3-Shallow_Input!G3,0)+Shallow_Input!M3)*Shallow_Input!J3+Shallow_Input!P3*Shallow_Input!F3+Shallow_Input!O3)/G3</x:f>
      </x:c>
      <x:c r="O3" s="16" t="e">
        <x:f>ABS(((Shallow_Input!Z3*Shallow_Input!H3*Shallow_Input!I3*MAX(Shallow_Input!F3-Shallow_Input!G3,0)+Shallow_Input!M3)*IF(B3="S",0,Shallow_Input!K3)+Shallow_Input!Q3*Shallow_Input!F3+IF(B3="S",0,Shallow_Input!N3))/G3)</x:f>
      </x:c>
      <x:c r="P3" s="16" t="e">
        <x:f>D3-2*N3</x:f>
      </x:c>
      <x:c r="Q3" s="16" t="e">
        <x:f>E3-2*O3</x:f>
      </x:c>
      <x:c r="R3" s="16" t="e">
        <x:f>MAX(P3,0.000001)</x:f>
      </x:c>
      <x:c r="S3" s="16" t="e">
        <x:f>IF(B3="S",1,MAX(Q3,0.000001))</x:f>
      </x:c>
      <x:c r="T3" s="16" t="e">
        <x:f>R3*S3</x:f>
      </x:c>
      <x:c r="U3" s="16" t="e">
        <x:f>DEGREES(ATAN(SQRT(Shallow_Input!P3^2+Shallow_Input!Q3^2)/G3))</x:f>
      </x:c>
      <x:c r="V3" s="16" t="n">
        <x:f>EXP(PI()*TAN(RADIANS(Shallow_Input!Y3)))*TAN(PI()/4+RADIANS(Shallow_Input!Y3)/2)^2</x:f>
        <x:v>0.9999999999999998</x:v>
      </x:c>
      <x:c r="W3" s="16" t="n">
        <x:f>IF(ABS(TAN(RADIANS(Shallow_Input!Y3)))&gt;0.0000001,(V3-1)/TAN(RADIANS(Shallow_Input!Y3)),5.14)</x:f>
        <x:v>5.14</x:v>
      </x:c>
      <x:c r="X3" s="16" t="n">
        <x:f>2*(V3+1)*TAN(RADIANS(Shallow_Input!Y3))</x:f>
        <x:v>0</x:v>
      </x:c>
      <x:c r="Y3" s="16" t="e">
        <x:f>IF(B3="S",1,1+R3/S3*V3/MAX(W3,0.000001))</x:f>
      </x:c>
      <x:c r="Z3" s="16" t="e">
        <x:f>IF(B3="S",1,1+R3/S3*TAN(RADIANS(Shallow_Input!Y3)))</x:f>
      </x:c>
      <x:c r="AA3" s="16" t="e">
        <x:f>IF(B3="S",1,1-0.4*R3/S3)</x:f>
      </x:c>
      <x:c r="AB3" s="16" t="e">
        <x:f>1+0.4*IF(F3/MAX(R3,0.000001)&lt;=1,F3/MAX(R3,0.000001),ATAN(F3/MAX(R3,0.000001)))</x:f>
      </x:c>
      <x:c r="AC3" s="16" t="e">
        <x:f>1+2*TAN(RADIANS(Shallow_Input!U3))*(1-SIN(RADIANS(Shallow_Input!U3)))^2*IF(F3/MAX(R3,0.000001)&lt;=1,F3/MAX(R3,0.000001),ATAN(F3/MAX(R3,0.000001)))</x:f>
      </x:c>
      <x:c r="AD3" s="16" t="n">
        <x:f>1</x:f>
        <x:v>1</x:v>
      </x:c>
      <x:c r="AE3" s="16" t="e">
        <x:f>(1-U3/90)^2</x:f>
      </x:c>
      <x:c r="AF3" s="16" t="e">
        <x:f>(1-U3/90)^2</x:f>
      </x:c>
      <x:c r="AG3" s="16" t="n">
        <x:f>IF(Shallow_Input!Y3&gt;0,(1-U3/Shallow_Input!Y3)^2,1)</x:f>
        <x:v>1</x:v>
      </x:c>
      <x:c r="AH3" s="16" t="e">
        <x:f>J3/MAX(G3,0.000001)</x:f>
      </x:c>
      <x:c r="AI3" s="16" t="e">
        <x:f>H3/MAX(L3,0.000001)</x:f>
      </x:c>
      <x:c r="AJ3" s="16" t="e">
        <x:f>IF(K3&gt;=G3,"OK","NG")</x:f>
      </x:c>
      <x:c r="AK3" s="16" t="e">
        <x:f>IF(I3&gt;=L3,"OK","NG")</x:f>
      </x:c>
      <x:c r="AL3" s="16" t="e">
        <x:f>IF(M3&gt;=0,"OK","NG")</x:f>
      </x:c>
      <x:c r="AM3" s="16" t="e">
        <x:f>IF(F3/MAX(R3,0.000001)&lt;=1,"Shallow","Deep")</x:f>
      </x:c>
    </x:row>
    <x:row r="4">
      <x:c r="A4" s="16" t="n">
        <x:f>Shallow_Input!A4</x:f>
        <x:v>0</x:v>
      </x:c>
      <x:c r="B4" s="16" t="n">
        <x:f>Shallow_Input!B4</x:f>
        <x:v>0</x:v>
      </x:c>
      <x:c r="C4" s="16" t="n">
        <x:f>Shallow_Input!C4</x:f>
        <x:v>0</x:v>
      </x:c>
      <x:c r="D4" s="16" t="n">
        <x:f>Shallow_Input!D4</x:f>
        <x:v>0</x:v>
      </x:c>
      <x:c r="E4" s="16" t="e">
        <x:f>IF(B4="S",1,Shallow_Input!E4)</x:f>
      </x:c>
      <x:c r="F4" s="16" t="n">
        <x:f>Shallow_Input!F4</x:f>
        <x:v>0</x:v>
      </x:c>
      <x:c r="G4" s="16" t="e">
        <x:f>LET(B0,D4,L0,E4,D0,F4,t,Shallow_Input!G4,Cx,Shallow_Input!H4,Cy,Shallow_Input!I4,Ox,Shallow_Input!J4,Oy,IF(B4="S",0,Shallow_Input!K4),dw,Shallow_Input!L4,Qc,Shallow_Input!M4,g1u,Shallow_Input!R4,g1sat,Shallow_Input!S4,gc,Shallow_Input!Z4,g1ave,IF(dw&gt;=D0,g1u,IF(dw&lt;=0,g1sat,(g1u*dw+g1sat*(D0-dw))/D0)),g1ave*MAX(B0*L0-Cx*Cy,0)*MAX(D0-t,0)+gc*Cx*Cy*MAX(D0-t,0)+t*B0*L0*gc+Qc)</x:f>
      </x:c>
      <x:c r="H4" s="16" t="e">
        <x:f>LET(shape,B4,B0,D4,L0,E4,D0,F4,dw,Shallow_Input!L4,g1u,Shallow_Input!R4,g1sat,Shallow_Input!S4,gw,Shallow_Input!AA4,g2u,Shallow_Input!V4,g2sat,Shallow_Input!W4,analysis,C4,c2,Shallow_Input!X4,phi1,Shallow_Input!U4,phi2,Shallow_Input!Y4,Bef,R4,Nq,V4,Nc,W4,Ny,X4,Fcs,Y4,Fqs,Z4,Fys,AA4,Fcd,AB4,Fqd,AC4,Fyd,AD4,Fci,AE4,Fqi,AF4,Fyi,AG4,g1ave,IF(dw&gt;=D0,g1u,IF(dw&lt;=0,g1sat,(g1u*dw+g1sat*(D0-dw))/D0)),g1eff,IF(dw&gt;=D0,g1u,IF(dw&lt;=0,g1sat-gw,(g1u*dw+(g1sat-gw)*(D0-dw))/D0)),g2width,IF(shape="S",B0,Bef),g2ave,IF(dw&gt;=D0+g2width,g2u,IF(dw&lt;=D0,g2sat,(g2u*(dw-D0)+g2sat*(g2width-(dw-D0)))/g2width)),g2eff,IF(dw&gt;=D0+g2width,g2u,IF(dw&lt;=D0,g2sat-gw,(g2u*(dw-D0)+(g2sat-gw)*(g2width-(dw-D0)))/g2width)),g1used,IF(analysis="T",g1ave,g1eff),g2used,IF(analysis="T",g2ave,g2eff),q,g1used*D0,c2*Nc*Fcs*Fcd*Fci+q*Nq*Fqs*Fqd*Fqi+0.5*Bef*g2used*Ny*Fys*Fyd*Fyi)</x:f>
      </x:c>
      <x:c r="I4" s="16" t="e">
        <x:f>H4/Shallow_Input!AB4</x:f>
      </x:c>
      <x:c r="J4" s="16" t="e">
        <x:f>H4*T4</x:f>
      </x:c>
      <x:c r="K4" s="16" t="e">
        <x:f>I4*T4</x:f>
      </x:c>
      <x:c r="L4" s="16" t="e">
        <x:f>G4/(D4*E4)*(1+6*N4/D4+6*O4/E4)</x:f>
      </x:c>
      <x:c r="M4" s="16" t="e">
        <x:f>G4/(D4*E4)*(1-6*N4/D4-6*O4/E4)</x:f>
      </x:c>
      <x:c r="N4" s="16" t="e">
        <x:f>ABS((Shallow_Input!Z4*Shallow_Input!H4*Shallow_Input!I4*MAX(Shallow_Input!F4-Shallow_Input!G4,0)+Shallow_Input!M4)*Shallow_Input!J4+Shallow_Input!P4*Shallow_Input!F4+Shallow_Input!O4)/G4</x:f>
      </x:c>
      <x:c r="O4" s="16" t="e">
        <x:f>ABS(((Shallow_Input!Z4*Shallow_Input!H4*Shallow_Input!I4*MAX(Shallow_Input!F4-Shallow_Input!G4,0)+Shallow_Input!M4)*IF(B4="S",0,Shallow_Input!K4)+Shallow_Input!Q4*Shallow_Input!F4+IF(B4="S",0,Shallow_Input!N4))/G4)</x:f>
      </x:c>
      <x:c r="P4" s="16" t="e">
        <x:f>D4-2*N4</x:f>
      </x:c>
      <x:c r="Q4" s="16" t="e">
        <x:f>E4-2*O4</x:f>
      </x:c>
      <x:c r="R4" s="16" t="e">
        <x:f>MAX(P4,0.000001)</x:f>
      </x:c>
      <x:c r="S4" s="16" t="e">
        <x:f>IF(B4="S",1,MAX(Q4,0.000001))</x:f>
      </x:c>
      <x:c r="T4" s="16" t="e">
        <x:f>R4*S4</x:f>
      </x:c>
      <x:c r="U4" s="16" t="e">
        <x:f>DEGREES(ATAN(SQRT(Shallow_Input!P4^2+Shallow_Input!Q4^2)/G4))</x:f>
      </x:c>
      <x:c r="V4" s="16" t="n">
        <x:f>EXP(PI()*TAN(RADIANS(Shallow_Input!Y4)))*TAN(PI()/4+RADIANS(Shallow_Input!Y4)/2)^2</x:f>
        <x:v>0.9999999999999998</x:v>
      </x:c>
      <x:c r="W4" s="16" t="n">
        <x:f>IF(ABS(TAN(RADIANS(Shallow_Input!Y4)))&gt;0.0000001,(V4-1)/TAN(RADIANS(Shallow_Input!Y4)),5.14)</x:f>
        <x:v>5.14</x:v>
      </x:c>
      <x:c r="X4" s="16" t="n">
        <x:f>2*(V4+1)*TAN(RADIANS(Shallow_Input!Y4))</x:f>
        <x:v>0</x:v>
      </x:c>
      <x:c r="Y4" s="16" t="e">
        <x:f>IF(B4="S",1,1+R4/S4*V4/MAX(W4,0.000001))</x:f>
      </x:c>
      <x:c r="Z4" s="16" t="e">
        <x:f>IF(B4="S",1,1+R4/S4*TAN(RADIANS(Shallow_Input!Y4)))</x:f>
      </x:c>
      <x:c r="AA4" s="16" t="e">
        <x:f>IF(B4="S",1,1-0.4*R4/S4)</x:f>
      </x:c>
      <x:c r="AB4" s="16" t="e">
        <x:f>1+0.4*IF(F4/MAX(R4,0.000001)&lt;=1,F4/MAX(R4,0.000001),ATAN(F4/MAX(R4,0.000001)))</x:f>
      </x:c>
      <x:c r="AC4" s="16" t="e">
        <x:f>1+2*TAN(RADIANS(Shallow_Input!U4))*(1-SIN(RADIANS(Shallow_Input!U4)))^2*IF(F4/MAX(R4,0.000001)&lt;=1,F4/MAX(R4,0.000001),ATAN(F4/MAX(R4,0.000001)))</x:f>
      </x:c>
      <x:c r="AD4" s="16" t="n">
        <x:f>1</x:f>
        <x:v>1</x:v>
      </x:c>
      <x:c r="AE4" s="16" t="e">
        <x:f>(1-U4/90)^2</x:f>
      </x:c>
      <x:c r="AF4" s="16" t="e">
        <x:f>(1-U4/90)^2</x:f>
      </x:c>
      <x:c r="AG4" s="16" t="n">
        <x:f>IF(Shallow_Input!Y4&gt;0,(1-U4/Shallow_Input!Y4)^2,1)</x:f>
        <x:v>1</x:v>
      </x:c>
      <x:c r="AH4" s="16" t="e">
        <x:f>J4/MAX(G4,0.000001)</x:f>
      </x:c>
      <x:c r="AI4" s="16" t="e">
        <x:f>H4/MAX(L4,0.000001)</x:f>
      </x:c>
      <x:c r="AJ4" s="16" t="e">
        <x:f>IF(K4&gt;=G4,"OK","NG")</x:f>
      </x:c>
      <x:c r="AK4" s="16" t="e">
        <x:f>IF(I4&gt;=L4,"OK","NG")</x:f>
      </x:c>
      <x:c r="AL4" s="16" t="e">
        <x:f>IF(M4&gt;=0,"OK","NG")</x:f>
      </x:c>
      <x:c r="AM4" s="16" t="e">
        <x:f>IF(F4/MAX(R4,0.000001)&lt;=1,"Shallow","Deep")</x:f>
      </x:c>
    </x:row>
    <x:row r="5">
      <x:c r="A5" s="16" t="n">
        <x:f>Shallow_Input!A5</x:f>
        <x:v>0</x:v>
      </x:c>
      <x:c r="B5" s="16" t="n">
        <x:f>Shallow_Input!B5</x:f>
        <x:v>0</x:v>
      </x:c>
      <x:c r="C5" s="16" t="n">
        <x:f>Shallow_Input!C5</x:f>
        <x:v>0</x:v>
      </x:c>
      <x:c r="D5" s="16" t="n">
        <x:f>Shallow_Input!D5</x:f>
        <x:v>0</x:v>
      </x:c>
      <x:c r="E5" s="16" t="e">
        <x:f>IF(B5="S",1,Shallow_Input!E5)</x:f>
      </x:c>
      <x:c r="F5" s="16" t="n">
        <x:f>Shallow_Input!F5</x:f>
        <x:v>0</x:v>
      </x:c>
      <x:c r="G5" s="16" t="e">
        <x:f>LET(B0,D5,L0,E5,D0,F5,t,Shallow_Input!G5,Cx,Shallow_Input!H5,Cy,Shallow_Input!I5,Ox,Shallow_Input!J5,Oy,IF(B5="S",0,Shallow_Input!K5),dw,Shallow_Input!L5,Qc,Shallow_Input!M5,g1u,Shallow_Input!R5,g1sat,Shallow_Input!S5,gc,Shallow_Input!Z5,g1ave,IF(dw&gt;=D0,g1u,IF(dw&lt;=0,g1sat,(g1u*dw+g1sat*(D0-dw))/D0)),g1ave*MAX(B0*L0-Cx*Cy,0)*MAX(D0-t,0)+gc*Cx*Cy*MAX(D0-t,0)+t*B0*L0*gc+Qc)</x:f>
      </x:c>
      <x:c r="H5" s="16" t="e">
        <x:f>LET(shape,B5,B0,D5,L0,E5,D0,F5,dw,Shallow_Input!L5,g1u,Shallow_Input!R5,g1sat,Shallow_Input!S5,gw,Shallow_Input!AA5,g2u,Shallow_Input!V5,g2sat,Shallow_Input!W5,analysis,C5,c2,Shallow_Input!X5,phi1,Shallow_Input!U5,phi2,Shallow_Input!Y5,Bef,R5,Nq,V5,Nc,W5,Ny,X5,Fcs,Y5,Fqs,Z5,Fys,AA5,Fcd,AB5,Fqd,AC5,Fyd,AD5,Fci,AE5,Fqi,AF5,Fyi,AG5,g1ave,IF(dw&gt;=D0,g1u,IF(dw&lt;=0,g1sat,(g1u*dw+g1sat*(D0-dw))/D0)),g1eff,IF(dw&gt;=D0,g1u,IF(dw&lt;=0,g1sat-gw,(g1u*dw+(g1sat-gw)*(D0-dw))/D0)),g2width,IF(shape="S",B0,Bef),g2ave,IF(dw&gt;=D0+g2width,g2u,IF(dw&lt;=D0,g2sat,(g2u*(dw-D0)+g2sat*(g2width-(dw-D0)))/g2width)),g2eff,IF(dw&gt;=D0+g2width,g2u,IF(dw&lt;=D0,g2sat-gw,(g2u*(dw-D0)+(g2sat-gw)*(g2width-(dw-D0)))/g2width)),g1used,IF(analysis="T",g1ave,g1eff),g2used,IF(analysis="T",g2ave,g2eff),q,g1used*D0,c2*Nc*Fcs*Fcd*Fci+q*Nq*Fqs*Fqd*Fqi+0.5*Bef*g2used*Ny*Fys*Fyd*Fyi)</x:f>
      </x:c>
      <x:c r="I5" s="16" t="e">
        <x:f>H5/Shallow_Input!AB5</x:f>
      </x:c>
      <x:c r="J5" s="16" t="e">
        <x:f>H5*T5</x:f>
      </x:c>
      <x:c r="K5" s="16" t="e">
        <x:f>I5*T5</x:f>
      </x:c>
      <x:c r="L5" s="16" t="e">
        <x:f>G5/(D5*E5)*(1+6*N5/D5+6*O5/E5)</x:f>
      </x:c>
      <x:c r="M5" s="16" t="e">
        <x:f>G5/(D5*E5)*(1-6*N5/D5-6*O5/E5)</x:f>
      </x:c>
      <x:c r="N5" s="16" t="e">
        <x:f>ABS((Shallow_Input!Z5*Shallow_Input!H5*Shallow_Input!I5*MAX(Shallow_Input!F5-Shallow_Input!G5,0)+Shallow_Input!M5)*Shallow_Input!J5+Shallow_Input!P5*Shallow_Input!F5+Shallow_Input!O5)/G5</x:f>
      </x:c>
      <x:c r="O5" s="16" t="e">
        <x:f>ABS(((Shallow_Input!Z5*Shallow_Input!H5*Shallow_Input!I5*MAX(Shallow_Input!F5-Shallow_Input!G5,0)+Shallow_Input!M5)*IF(B5="S",0,Shallow_Input!K5)+Shallow_Input!Q5*Shallow_Input!F5+IF(B5="S",0,Shallow_Input!N5))/G5)</x:f>
      </x:c>
      <x:c r="P5" s="16" t="e">
        <x:f>D5-2*N5</x:f>
      </x:c>
      <x:c r="Q5" s="16" t="e">
        <x:f>E5-2*O5</x:f>
      </x:c>
      <x:c r="R5" s="16" t="e">
        <x:f>MAX(P5,0.000001)</x:f>
      </x:c>
      <x:c r="S5" s="16" t="e">
        <x:f>IF(B5="S",1,MAX(Q5,0.000001))</x:f>
      </x:c>
      <x:c r="T5" s="16" t="e">
        <x:f>R5*S5</x:f>
      </x:c>
      <x:c r="U5" s="16" t="e">
        <x:f>DEGREES(ATAN(SQRT(Shallow_Input!P5^2+Shallow_Input!Q5^2)/G5))</x:f>
      </x:c>
      <x:c r="V5" s="16" t="n">
        <x:f>EXP(PI()*TAN(RADIANS(Shallow_Input!Y5)))*TAN(PI()/4+RADIANS(Shallow_Input!Y5)/2)^2</x:f>
        <x:v>0.9999999999999998</x:v>
      </x:c>
      <x:c r="W5" s="16" t="n">
        <x:f>IF(ABS(TAN(RADIANS(Shallow_Input!Y5)))&gt;0.0000001,(V5-1)/TAN(RADIANS(Shallow_Input!Y5)),5.14)</x:f>
        <x:v>5.14</x:v>
      </x:c>
      <x:c r="X5" s="16" t="n">
        <x:f>2*(V5+1)*TAN(RADIANS(Shallow_Input!Y5))</x:f>
        <x:v>0</x:v>
      </x:c>
      <x:c r="Y5" s="16" t="e">
        <x:f>IF(B5="S",1,1+R5/S5*V5/MAX(W5,0.000001))</x:f>
      </x:c>
      <x:c r="Z5" s="16" t="e">
        <x:f>IF(B5="S",1,1+R5/S5*TAN(RADIANS(Shallow_Input!Y5)))</x:f>
      </x:c>
      <x:c r="AA5" s="16" t="e">
        <x:f>IF(B5="S",1,1-0.4*R5/S5)</x:f>
      </x:c>
      <x:c r="AB5" s="16" t="e">
        <x:f>1+0.4*IF(F5/MAX(R5,0.000001)&lt;=1,F5/MAX(R5,0.000001),ATAN(F5/MAX(R5,0.000001)))</x:f>
      </x:c>
      <x:c r="AC5" s="16" t="e">
        <x:f>1+2*TAN(RADIANS(Shallow_Input!U5))*(1-SIN(RADIANS(Shallow_Input!U5)))^2*IF(F5/MAX(R5,0.000001)&lt;=1,F5/MAX(R5,0.000001),ATAN(F5/MAX(R5,0.000001)))</x:f>
      </x:c>
      <x:c r="AD5" s="16" t="n">
        <x:f>1</x:f>
        <x:v>1</x:v>
      </x:c>
      <x:c r="AE5" s="16" t="e">
        <x:f>(1-U5/90)^2</x:f>
      </x:c>
      <x:c r="AF5" s="16" t="e">
        <x:f>(1-U5/90)^2</x:f>
      </x:c>
      <x:c r="AG5" s="16" t="n">
        <x:f>IF(Shallow_Input!Y5&gt;0,(1-U5/Shallow_Input!Y5)^2,1)</x:f>
        <x:v>1</x:v>
      </x:c>
      <x:c r="AH5" s="16" t="e">
        <x:f>J5/MAX(G5,0.000001)</x:f>
      </x:c>
      <x:c r="AI5" s="16" t="e">
        <x:f>H5/MAX(L5,0.000001)</x:f>
      </x:c>
      <x:c r="AJ5" s="16" t="e">
        <x:f>IF(K5&gt;=G5,"OK","NG")</x:f>
      </x:c>
      <x:c r="AK5" s="16" t="e">
        <x:f>IF(I5&gt;=L5,"OK","NG")</x:f>
      </x:c>
      <x:c r="AL5" s="16" t="e">
        <x:f>IF(M5&gt;=0,"OK","NG")</x:f>
      </x:c>
      <x:c r="AM5" s="16" t="e">
        <x:f>IF(F5/MAX(R5,0.000001)&lt;=1,"Shallow","Deep")</x:f>
      </x:c>
    </x:row>
    <x:row r="6">
      <x:c r="A6" s="16" t="n">
        <x:f>Shallow_Input!A6</x:f>
        <x:v>0</x:v>
      </x:c>
      <x:c r="B6" s="16" t="n">
        <x:f>Shallow_Input!B6</x:f>
        <x:v>0</x:v>
      </x:c>
      <x:c r="C6" s="16" t="n">
        <x:f>Shallow_Input!C6</x:f>
        <x:v>0</x:v>
      </x:c>
      <x:c r="D6" s="16" t="n">
        <x:f>Shallow_Input!D6</x:f>
        <x:v>0</x:v>
      </x:c>
      <x:c r="E6" s="16" t="e">
        <x:f>IF(B6="S",1,Shallow_Input!E6)</x:f>
      </x:c>
      <x:c r="F6" s="16" t="n">
        <x:f>Shallow_Input!F6</x:f>
        <x:v>0</x:v>
      </x:c>
      <x:c r="G6" s="16" t="e">
        <x:f>LET(B0,D6,L0,E6,D0,F6,t,Shallow_Input!G6,Cx,Shallow_Input!H6,Cy,Shallow_Input!I6,Ox,Shallow_Input!J6,Oy,IF(B6="S",0,Shallow_Input!K6),dw,Shallow_Input!L6,Qc,Shallow_Input!M6,g1u,Shallow_Input!R6,g1sat,Shallow_Input!S6,gc,Shallow_Input!Z6,g1ave,IF(dw&gt;=D0,g1u,IF(dw&lt;=0,g1sat,(g1u*dw+g1sat*(D0-dw))/D0)),g1ave*MAX(B0*L0-Cx*Cy,0)*MAX(D0-t,0)+gc*Cx*Cy*MAX(D0-t,0)+t*B0*L0*gc+Qc)</x:f>
      </x:c>
      <x:c r="H6" s="16" t="e">
        <x:f>LET(shape,B6,B0,D6,L0,E6,D0,F6,dw,Shallow_Input!L6,g1u,Shallow_Input!R6,g1sat,Shallow_Input!S6,gw,Shallow_Input!AA6,g2u,Shallow_Input!V6,g2sat,Shallow_Input!W6,analysis,C6,c2,Shallow_Input!X6,phi1,Shallow_Input!U6,phi2,Shallow_Input!Y6,Bef,R6,Nq,V6,Nc,W6,Ny,X6,Fcs,Y6,Fqs,Z6,Fys,AA6,Fcd,AB6,Fqd,AC6,Fyd,AD6,Fci,AE6,Fqi,AF6,Fyi,AG6,g1ave,IF(dw&gt;=D0,g1u,IF(dw&lt;=0,g1sat,(g1u*dw+g1sat*(D0-dw))/D0)),g1eff,IF(dw&gt;=D0,g1u,IF(dw&lt;=0,g1sat-gw,(g1u*dw+(g1sat-gw)*(D0-dw))/D0)),g2width,IF(shape="S",B0,Bef),g2ave,IF(dw&gt;=D0+g2width,g2u,IF(dw&lt;=D0,g2sat,(g2u*(dw-D0)+g2sat*(g2width-(dw-D0)))/g2width)),g2eff,IF(dw&gt;=D0+g2width,g2u,IF(dw&lt;=D0,g2sat-gw,(g2u*(dw-D0)+(g2sat-gw)*(g2width-(dw-D0)))/g2width)),g1used,IF(analysis="T",g1ave,g1eff),g2used,IF(analysis="T",g2ave,g2eff),q,g1used*D0,c2*Nc*Fcs*Fcd*Fci+q*Nq*Fqs*Fqd*Fqi+0.5*Bef*g2used*Ny*Fys*Fyd*Fyi)</x:f>
      </x:c>
      <x:c r="I6" s="16" t="e">
        <x:f>H6/Shallow_Input!AB6</x:f>
      </x:c>
      <x:c r="J6" s="16" t="e">
        <x:f>H6*T6</x:f>
      </x:c>
      <x:c r="K6" s="16" t="e">
        <x:f>I6*T6</x:f>
      </x:c>
      <x:c r="L6" s="16" t="e">
        <x:f>G6/(D6*E6)*(1+6*N6/D6+6*O6/E6)</x:f>
      </x:c>
      <x:c r="M6" s="16" t="e">
        <x:f>G6/(D6*E6)*(1-6*N6/D6-6*O6/E6)</x:f>
      </x:c>
      <x:c r="N6" s="16" t="e">
        <x:f>ABS((Shallow_Input!Z6*Shallow_Input!H6*Shallow_Input!I6*MAX(Shallow_Input!F6-Shallow_Input!G6,0)+Shallow_Input!M6)*Shallow_Input!J6+Shallow_Input!P6*Shallow_Input!F6+Shallow_Input!O6)/G6</x:f>
      </x:c>
      <x:c r="O6" s="16" t="e">
        <x:f>ABS(((Shallow_Input!Z6*Shallow_Input!H6*Shallow_Input!I6*MAX(Shallow_Input!F6-Shallow_Input!G6,0)+Shallow_Input!M6)*IF(B6="S",0,Shallow_Input!K6)+Shallow_Input!Q6*Shallow_Input!F6+IF(B6="S",0,Shallow_Input!N6))/G6)</x:f>
      </x:c>
      <x:c r="P6" s="16" t="e">
        <x:f>D6-2*N6</x:f>
      </x:c>
      <x:c r="Q6" s="16" t="e">
        <x:f>E6-2*O6</x:f>
      </x:c>
      <x:c r="R6" s="16" t="e">
        <x:f>MAX(P6,0.000001)</x:f>
      </x:c>
      <x:c r="S6" s="16" t="e">
        <x:f>IF(B6="S",1,MAX(Q6,0.000001))</x:f>
      </x:c>
      <x:c r="T6" s="16" t="e">
        <x:f>R6*S6</x:f>
      </x:c>
      <x:c r="U6" s="16" t="e">
        <x:f>DEGREES(ATAN(SQRT(Shallow_Input!P6^2+Shallow_Input!Q6^2)/G6))</x:f>
      </x:c>
      <x:c r="V6" s="16" t="n">
        <x:f>EXP(PI()*TAN(RADIANS(Shallow_Input!Y6)))*TAN(PI()/4+RADIANS(Shallow_Input!Y6)/2)^2</x:f>
        <x:v>0.9999999999999998</x:v>
      </x:c>
      <x:c r="W6" s="16" t="n">
        <x:f>IF(ABS(TAN(RADIANS(Shallow_Input!Y6)))&gt;0.0000001,(V6-1)/TAN(RADIANS(Shallow_Input!Y6)),5.14)</x:f>
        <x:v>5.14</x:v>
      </x:c>
      <x:c r="X6" s="16" t="n">
        <x:f>2*(V6+1)*TAN(RADIANS(Shallow_Input!Y6))</x:f>
        <x:v>0</x:v>
      </x:c>
      <x:c r="Y6" s="16" t="e">
        <x:f>IF(B6="S",1,1+R6/S6*V6/MAX(W6,0.000001))</x:f>
      </x:c>
      <x:c r="Z6" s="16" t="e">
        <x:f>IF(B6="S",1,1+R6/S6*TAN(RADIANS(Shallow_Input!Y6)))</x:f>
      </x:c>
      <x:c r="AA6" s="16" t="e">
        <x:f>IF(B6="S",1,1-0.4*R6/S6)</x:f>
      </x:c>
      <x:c r="AB6" s="16" t="e">
        <x:f>1+0.4*IF(F6/MAX(R6,0.000001)&lt;=1,F6/MAX(R6,0.000001),ATAN(F6/MAX(R6,0.000001)))</x:f>
      </x:c>
      <x:c r="AC6" s="16" t="e">
        <x:f>1+2*TAN(RADIANS(Shallow_Input!U6))*(1-SIN(RADIANS(Shallow_Input!U6)))^2*IF(F6/MAX(R6,0.000001)&lt;=1,F6/MAX(R6,0.000001),ATAN(F6/MAX(R6,0.000001)))</x:f>
      </x:c>
      <x:c r="AD6" s="16" t="n">
        <x:f>1</x:f>
        <x:v>1</x:v>
      </x:c>
      <x:c r="AE6" s="16" t="e">
        <x:f>(1-U6/90)^2</x:f>
      </x:c>
      <x:c r="AF6" s="16" t="e">
        <x:f>(1-U6/90)^2</x:f>
      </x:c>
      <x:c r="AG6" s="16" t="n">
        <x:f>IF(Shallow_Input!Y6&gt;0,(1-U6/Shallow_Input!Y6)^2,1)</x:f>
        <x:v>1</x:v>
      </x:c>
      <x:c r="AH6" s="16" t="e">
        <x:f>J6/MAX(G6,0.000001)</x:f>
      </x:c>
      <x:c r="AI6" s="16" t="e">
        <x:f>H6/MAX(L6,0.000001)</x:f>
      </x:c>
      <x:c r="AJ6" s="16" t="e">
        <x:f>IF(K6&gt;=G6,"OK","NG")</x:f>
      </x:c>
      <x:c r="AK6" s="16" t="e">
        <x:f>IF(I6&gt;=L6,"OK","NG")</x:f>
      </x:c>
      <x:c r="AL6" s="16" t="e">
        <x:f>IF(M6&gt;=0,"OK","NG")</x:f>
      </x:c>
      <x:c r="AM6" s="16" t="e">
        <x:f>IF(F6/MAX(R6,0.000001)&lt;=1,"Shallow","Deep")</x:f>
      </x:c>
    </x:row>
    <x:row r="7">
      <x:c r="A7" s="16" t="n">
        <x:f>Shallow_Input!A7</x:f>
        <x:v>0</x:v>
      </x:c>
      <x:c r="B7" s="16" t="n">
        <x:f>Shallow_Input!B7</x:f>
        <x:v>0</x:v>
      </x:c>
      <x:c r="C7" s="16" t="n">
        <x:f>Shallow_Input!C7</x:f>
        <x:v>0</x:v>
      </x:c>
      <x:c r="D7" s="16" t="n">
        <x:f>Shallow_Input!D7</x:f>
        <x:v>0</x:v>
      </x:c>
      <x:c r="E7" s="16" t="e">
        <x:f>IF(B7="S",1,Shallow_Input!E7)</x:f>
      </x:c>
      <x:c r="F7" s="16" t="n">
        <x:f>Shallow_Input!F7</x:f>
        <x:v>0</x:v>
      </x:c>
      <x:c r="G7" s="16" t="e">
        <x:f>LET(B0,D7,L0,E7,D0,F7,t,Shallow_Input!G7,Cx,Shallow_Input!H7,Cy,Shallow_Input!I7,Ox,Shallow_Input!J7,Oy,IF(B7="S",0,Shallow_Input!K7),dw,Shallow_Input!L7,Qc,Shallow_Input!M7,g1u,Shallow_Input!R7,g1sat,Shallow_Input!S7,gc,Shallow_Input!Z7,g1ave,IF(dw&gt;=D0,g1u,IF(dw&lt;=0,g1sat,(g1u*dw+g1sat*(D0-dw))/D0)),g1ave*MAX(B0*L0-Cx*Cy,0)*MAX(D0-t,0)+gc*Cx*Cy*MAX(D0-t,0)+t*B0*L0*gc+Qc)</x:f>
      </x:c>
      <x:c r="H7" s="16" t="e">
        <x:f>LET(shape,B7,B0,D7,L0,E7,D0,F7,dw,Shallow_Input!L7,g1u,Shallow_Input!R7,g1sat,Shallow_Input!S7,gw,Shallow_Input!AA7,g2u,Shallow_Input!V7,g2sat,Shallow_Input!W7,analysis,C7,c2,Shallow_Input!X7,phi1,Shallow_Input!U7,phi2,Shallow_Input!Y7,Bef,R7,Nq,V7,Nc,W7,Ny,X7,Fcs,Y7,Fqs,Z7,Fys,AA7,Fcd,AB7,Fqd,AC7,Fyd,AD7,Fci,AE7,Fqi,AF7,Fyi,AG7,g1ave,IF(dw&gt;=D0,g1u,IF(dw&lt;=0,g1sat,(g1u*dw+g1sat*(D0-dw))/D0)),g1eff,IF(dw&gt;=D0,g1u,IF(dw&lt;=0,g1sat-gw,(g1u*dw+(g1sat-gw)*(D0-dw))/D0)),g2width,IF(shape="S",B0,Bef),g2ave,IF(dw&gt;=D0+g2width,g2u,IF(dw&lt;=D0,g2sat,(g2u*(dw-D0)+g2sat*(g2width-(dw-D0)))/g2width)),g2eff,IF(dw&gt;=D0+g2width,g2u,IF(dw&lt;=D0,g2sat-gw,(g2u*(dw-D0)+(g2sat-gw)*(g2width-(dw-D0)))/g2width)),g1used,IF(analysis="T",g1ave,g1eff),g2used,IF(analysis="T",g2ave,g2eff),q,g1used*D0,c2*Nc*Fcs*Fcd*Fci+q*Nq*Fqs*Fqd*Fqi+0.5*Bef*g2used*Ny*Fys*Fyd*Fyi)</x:f>
      </x:c>
      <x:c r="I7" s="16" t="e">
        <x:f>H7/Shallow_Input!AB7</x:f>
      </x:c>
      <x:c r="J7" s="16" t="e">
        <x:f>H7*T7</x:f>
      </x:c>
      <x:c r="K7" s="16" t="e">
        <x:f>I7*T7</x:f>
      </x:c>
      <x:c r="L7" s="16" t="e">
        <x:f>G7/(D7*E7)*(1+6*N7/D7+6*O7/E7)</x:f>
      </x:c>
      <x:c r="M7" s="16" t="e">
        <x:f>G7/(D7*E7)*(1-6*N7/D7-6*O7/E7)</x:f>
      </x:c>
      <x:c r="N7" s="16" t="e">
        <x:f>ABS((Shallow_Input!Z7*Shallow_Input!H7*Shallow_Input!I7*MAX(Shallow_Input!F7-Shallow_Input!G7,0)+Shallow_Input!M7)*Shallow_Input!J7+Shallow_Input!P7*Shallow_Input!F7+Shallow_Input!O7)/G7</x:f>
      </x:c>
      <x:c r="O7" s="16" t="e">
        <x:f>ABS(((Shallow_Input!Z7*Shallow_Input!H7*Shallow_Input!I7*MAX(Shallow_Input!F7-Shallow_Input!G7,0)+Shallow_Input!M7)*IF(B7="S",0,Shallow_Input!K7)+Shallow_Input!Q7*Shallow_Input!F7+IF(B7="S",0,Shallow_Input!N7))/G7)</x:f>
      </x:c>
      <x:c r="P7" s="16" t="e">
        <x:f>D7-2*N7</x:f>
      </x:c>
      <x:c r="Q7" s="16" t="e">
        <x:f>E7-2*O7</x:f>
      </x:c>
      <x:c r="R7" s="16" t="e">
        <x:f>MAX(P7,0.000001)</x:f>
      </x:c>
      <x:c r="S7" s="16" t="e">
        <x:f>IF(B7="S",1,MAX(Q7,0.000001))</x:f>
      </x:c>
      <x:c r="T7" s="16" t="e">
        <x:f>R7*S7</x:f>
      </x:c>
      <x:c r="U7" s="16" t="e">
        <x:f>DEGREES(ATAN(SQRT(Shallow_Input!P7^2+Shallow_Input!Q7^2)/G7))</x:f>
      </x:c>
      <x:c r="V7" s="16" t="n">
        <x:f>EXP(PI()*TAN(RADIANS(Shallow_Input!Y7)))*TAN(PI()/4+RADIANS(Shallow_Input!Y7)/2)^2</x:f>
        <x:v>0.9999999999999998</x:v>
      </x:c>
      <x:c r="W7" s="16" t="n">
        <x:f>IF(ABS(TAN(RADIANS(Shallow_Input!Y7)))&gt;0.0000001,(V7-1)/TAN(RADIANS(Shallow_Input!Y7)),5.14)</x:f>
        <x:v>5.14</x:v>
      </x:c>
      <x:c r="X7" s="16" t="n">
        <x:f>2*(V7+1)*TAN(RADIANS(Shallow_Input!Y7))</x:f>
        <x:v>0</x:v>
      </x:c>
      <x:c r="Y7" s="16" t="e">
        <x:f>IF(B7="S",1,1+R7/S7*V7/MAX(W7,0.000001))</x:f>
      </x:c>
      <x:c r="Z7" s="16" t="e">
        <x:f>IF(B7="S",1,1+R7/S7*TAN(RADIANS(Shallow_Input!Y7)))</x:f>
      </x:c>
      <x:c r="AA7" s="16" t="e">
        <x:f>IF(B7="S",1,1-0.4*R7/S7)</x:f>
      </x:c>
      <x:c r="AB7" s="16" t="e">
        <x:f>1+0.4*IF(F7/MAX(R7,0.000001)&lt;=1,F7/MAX(R7,0.000001),ATAN(F7/MAX(R7,0.000001)))</x:f>
      </x:c>
      <x:c r="AC7" s="16" t="e">
        <x:f>1+2*TAN(RADIANS(Shallow_Input!U7))*(1-SIN(RADIANS(Shallow_Input!U7)))^2*IF(F7/MAX(R7,0.000001)&lt;=1,F7/MAX(R7,0.000001),ATAN(F7/MAX(R7,0.000001)))</x:f>
      </x:c>
      <x:c r="AD7" s="16" t="n">
        <x:f>1</x:f>
        <x:v>1</x:v>
      </x:c>
      <x:c r="AE7" s="16" t="e">
        <x:f>(1-U7/90)^2</x:f>
      </x:c>
      <x:c r="AF7" s="16" t="e">
        <x:f>(1-U7/90)^2</x:f>
      </x:c>
      <x:c r="AG7" s="16" t="n">
        <x:f>IF(Shallow_Input!Y7&gt;0,(1-U7/Shallow_Input!Y7)^2,1)</x:f>
        <x:v>1</x:v>
      </x:c>
      <x:c r="AH7" s="16" t="e">
        <x:f>J7/MAX(G7,0.000001)</x:f>
      </x:c>
      <x:c r="AI7" s="16" t="e">
        <x:f>H7/MAX(L7,0.000001)</x:f>
      </x:c>
      <x:c r="AJ7" s="16" t="e">
        <x:f>IF(K7&gt;=G7,"OK","NG")</x:f>
      </x:c>
      <x:c r="AK7" s="16" t="e">
        <x:f>IF(I7&gt;=L7,"OK","NG")</x:f>
      </x:c>
      <x:c r="AL7" s="16" t="e">
        <x:f>IF(M7&gt;=0,"OK","NG")</x:f>
      </x:c>
      <x:c r="AM7" s="16" t="e">
        <x:f>IF(F7/MAX(R7,0.000001)&lt;=1,"Shallow","Deep")</x:f>
      </x:c>
    </x:row>
    <x:row r="8">
      <x:c r="A8" s="16" t="n">
        <x:f>Shallow_Input!A8</x:f>
        <x:v>0</x:v>
      </x:c>
      <x:c r="B8" s="16" t="n">
        <x:f>Shallow_Input!B8</x:f>
        <x:v>0</x:v>
      </x:c>
      <x:c r="C8" s="16" t="n">
        <x:f>Shallow_Input!C8</x:f>
        <x:v>0</x:v>
      </x:c>
      <x:c r="D8" s="16" t="n">
        <x:f>Shallow_Input!D8</x:f>
        <x:v>0</x:v>
      </x:c>
      <x:c r="E8" s="16" t="e">
        <x:f>IF(B8="S",1,Shallow_Input!E8)</x:f>
      </x:c>
      <x:c r="F8" s="16" t="n">
        <x:f>Shallow_Input!F8</x:f>
        <x:v>0</x:v>
      </x:c>
      <x:c r="G8" s="16" t="e">
        <x:f>LET(B0,D8,L0,E8,D0,F8,t,Shallow_Input!G8,Cx,Shallow_Input!H8,Cy,Shallow_Input!I8,Ox,Shallow_Input!J8,Oy,IF(B8="S",0,Shallow_Input!K8),dw,Shallow_Input!L8,Qc,Shallow_Input!M8,g1u,Shallow_Input!R8,g1sat,Shallow_Input!S8,gc,Shallow_Input!Z8,g1ave,IF(dw&gt;=D0,g1u,IF(dw&lt;=0,g1sat,(g1u*dw+g1sat*(D0-dw))/D0)),g1ave*MAX(B0*L0-Cx*Cy,0)*MAX(D0-t,0)+gc*Cx*Cy*MAX(D0-t,0)+t*B0*L0*gc+Qc)</x:f>
      </x:c>
      <x:c r="H8" s="16" t="e">
        <x:f>LET(shape,B8,B0,D8,L0,E8,D0,F8,dw,Shallow_Input!L8,g1u,Shallow_Input!R8,g1sat,Shallow_Input!S8,gw,Shallow_Input!AA8,g2u,Shallow_Input!V8,g2sat,Shallow_Input!W8,analysis,C8,c2,Shallow_Input!X8,phi1,Shallow_Input!U8,phi2,Shallow_Input!Y8,Bef,R8,Nq,V8,Nc,W8,Ny,X8,Fcs,Y8,Fqs,Z8,Fys,AA8,Fcd,AB8,Fqd,AC8,Fyd,AD8,Fci,AE8,Fqi,AF8,Fyi,AG8,g1ave,IF(dw&gt;=D0,g1u,IF(dw&lt;=0,g1sat,(g1u*dw+g1sat*(D0-dw))/D0)),g1eff,IF(dw&gt;=D0,g1u,IF(dw&lt;=0,g1sat-gw,(g1u*dw+(g1sat-gw)*(D0-dw))/D0)),g2width,IF(shape="S",B0,Bef),g2ave,IF(dw&gt;=D0+g2width,g2u,IF(dw&lt;=D0,g2sat,(g2u*(dw-D0)+g2sat*(g2width-(dw-D0)))/g2width)),g2eff,IF(dw&gt;=D0+g2width,g2u,IF(dw&lt;=D0,g2sat-gw,(g2u*(dw-D0)+(g2sat-gw)*(g2width-(dw-D0)))/g2width)),g1used,IF(analysis="T",g1ave,g1eff),g2used,IF(analysis="T",g2ave,g2eff),q,g1used*D0,c2*Nc*Fcs*Fcd*Fci+q*Nq*Fqs*Fqd*Fqi+0.5*Bef*g2used*Ny*Fys*Fyd*Fyi)</x:f>
      </x:c>
      <x:c r="I8" s="16" t="e">
        <x:f>H8/Shallow_Input!AB8</x:f>
      </x:c>
      <x:c r="J8" s="16" t="e">
        <x:f>H8*T8</x:f>
      </x:c>
      <x:c r="K8" s="16" t="e">
        <x:f>I8*T8</x:f>
      </x:c>
      <x:c r="L8" s="16" t="e">
        <x:f>G8/(D8*E8)*(1+6*N8/D8+6*O8/E8)</x:f>
      </x:c>
      <x:c r="M8" s="16" t="e">
        <x:f>G8/(D8*E8)*(1-6*N8/D8-6*O8/E8)</x:f>
      </x:c>
      <x:c r="N8" s="16" t="e">
        <x:f>ABS((Shallow_Input!Z8*Shallow_Input!H8*Shallow_Input!I8*MAX(Shallow_Input!F8-Shallow_Input!G8,0)+Shallow_Input!M8)*Shallow_Input!J8+Shallow_Input!P8*Shallow_Input!F8+Shallow_Input!O8)/G8</x:f>
      </x:c>
      <x:c r="O8" s="16" t="e">
        <x:f>ABS(((Shallow_Input!Z8*Shallow_Input!H8*Shallow_Input!I8*MAX(Shallow_Input!F8-Shallow_Input!G8,0)+Shallow_Input!M8)*IF(B8="S",0,Shallow_Input!K8)+Shallow_Input!Q8*Shallow_Input!F8+IF(B8="S",0,Shallow_Input!N8))/G8)</x:f>
      </x:c>
      <x:c r="P8" s="16" t="e">
        <x:f>D8-2*N8</x:f>
      </x:c>
      <x:c r="Q8" s="16" t="e">
        <x:f>E8-2*O8</x:f>
      </x:c>
      <x:c r="R8" s="16" t="e">
        <x:f>MAX(P8,0.000001)</x:f>
      </x:c>
      <x:c r="S8" s="16" t="e">
        <x:f>IF(B8="S",1,MAX(Q8,0.000001))</x:f>
      </x:c>
      <x:c r="T8" s="16" t="e">
        <x:f>R8*S8</x:f>
      </x:c>
      <x:c r="U8" s="16" t="e">
        <x:f>DEGREES(ATAN(SQRT(Shallow_Input!P8^2+Shallow_Input!Q8^2)/G8))</x:f>
      </x:c>
      <x:c r="V8" s="16" t="n">
        <x:f>EXP(PI()*TAN(RADIANS(Shallow_Input!Y8)))*TAN(PI()/4+RADIANS(Shallow_Input!Y8)/2)^2</x:f>
        <x:v>0.9999999999999998</x:v>
      </x:c>
      <x:c r="W8" s="16" t="n">
        <x:f>IF(ABS(TAN(RADIANS(Shallow_Input!Y8)))&gt;0.0000001,(V8-1)/TAN(RADIANS(Shallow_Input!Y8)),5.14)</x:f>
        <x:v>5.14</x:v>
      </x:c>
      <x:c r="X8" s="16" t="n">
        <x:f>2*(V8+1)*TAN(RADIANS(Shallow_Input!Y8))</x:f>
        <x:v>0</x:v>
      </x:c>
      <x:c r="Y8" s="16" t="e">
        <x:f>IF(B8="S",1,1+R8/S8*V8/MAX(W8,0.000001))</x:f>
      </x:c>
      <x:c r="Z8" s="16" t="e">
        <x:f>IF(B8="S",1,1+R8/S8*TAN(RADIANS(Shallow_Input!Y8)))</x:f>
      </x:c>
      <x:c r="AA8" s="16" t="e">
        <x:f>IF(B8="S",1,1-0.4*R8/S8)</x:f>
      </x:c>
      <x:c r="AB8" s="16" t="e">
        <x:f>1+0.4*IF(F8/MAX(R8,0.000001)&lt;=1,F8/MAX(R8,0.000001),ATAN(F8/MAX(R8,0.000001)))</x:f>
      </x:c>
      <x:c r="AC8" s="16" t="e">
        <x:f>1+2*TAN(RADIANS(Shallow_Input!U8))*(1-SIN(RADIANS(Shallow_Input!U8)))^2*IF(F8/MAX(R8,0.000001)&lt;=1,F8/MAX(R8,0.000001),ATAN(F8/MAX(R8,0.000001)))</x:f>
      </x:c>
      <x:c r="AD8" s="16" t="n">
        <x:f>1</x:f>
        <x:v>1</x:v>
      </x:c>
      <x:c r="AE8" s="16" t="e">
        <x:f>(1-U8/90)^2</x:f>
      </x:c>
      <x:c r="AF8" s="16" t="e">
        <x:f>(1-U8/90)^2</x:f>
      </x:c>
      <x:c r="AG8" s="16" t="n">
        <x:f>IF(Shallow_Input!Y8&gt;0,(1-U8/Shallow_Input!Y8)^2,1)</x:f>
        <x:v>1</x:v>
      </x:c>
      <x:c r="AH8" s="16" t="e">
        <x:f>J8/MAX(G8,0.000001)</x:f>
      </x:c>
      <x:c r="AI8" s="16" t="e">
        <x:f>H8/MAX(L8,0.000001)</x:f>
      </x:c>
      <x:c r="AJ8" s="16" t="e">
        <x:f>IF(K8&gt;=G8,"OK","NG")</x:f>
      </x:c>
      <x:c r="AK8" s="16" t="e">
        <x:f>IF(I8&gt;=L8,"OK","NG")</x:f>
      </x:c>
      <x:c r="AL8" s="16" t="e">
        <x:f>IF(M8&gt;=0,"OK","NG")</x:f>
      </x:c>
      <x:c r="AM8" s="16" t="e">
        <x:f>IF(F8/MAX(R8,0.000001)&lt;=1,"Shallow","Deep")</x:f>
      </x:c>
    </x:row>
    <x:row r="9">
      <x:c r="A9" s="16" t="n">
        <x:f>Shallow_Input!A9</x:f>
        <x:v>0</x:v>
      </x:c>
      <x:c r="B9" s="16" t="n">
        <x:f>Shallow_Input!B9</x:f>
        <x:v>0</x:v>
      </x:c>
      <x:c r="C9" s="16" t="n">
        <x:f>Shallow_Input!C9</x:f>
        <x:v>0</x:v>
      </x:c>
      <x:c r="D9" s="16" t="n">
        <x:f>Shallow_Input!D9</x:f>
        <x:v>0</x:v>
      </x:c>
      <x:c r="E9" s="16" t="e">
        <x:f>IF(B9="S",1,Shallow_Input!E9)</x:f>
      </x:c>
      <x:c r="F9" s="16" t="n">
        <x:f>Shallow_Input!F9</x:f>
        <x:v>0</x:v>
      </x:c>
      <x:c r="G9" s="16" t="e">
        <x:f>LET(B0,D9,L0,E9,D0,F9,t,Shallow_Input!G9,Cx,Shallow_Input!H9,Cy,Shallow_Input!I9,Ox,Shallow_Input!J9,Oy,IF(B9="S",0,Shallow_Input!K9),dw,Shallow_Input!L9,Qc,Shallow_Input!M9,g1u,Shallow_Input!R9,g1sat,Shallow_Input!S9,gc,Shallow_Input!Z9,g1ave,IF(dw&gt;=D0,g1u,IF(dw&lt;=0,g1sat,(g1u*dw+g1sat*(D0-dw))/D0)),g1ave*MAX(B0*L0-Cx*Cy,0)*MAX(D0-t,0)+gc*Cx*Cy*MAX(D0-t,0)+t*B0*L0*gc+Qc)</x:f>
      </x:c>
      <x:c r="H9" s="16" t="e">
        <x:f>LET(shape,B9,B0,D9,L0,E9,D0,F9,dw,Shallow_Input!L9,g1u,Shallow_Input!R9,g1sat,Shallow_Input!S9,gw,Shallow_Input!AA9,g2u,Shallow_Input!V9,g2sat,Shallow_Input!W9,analysis,C9,c2,Shallow_Input!X9,phi1,Shallow_Input!U9,phi2,Shallow_Input!Y9,Bef,R9,Nq,V9,Nc,W9,Ny,X9,Fcs,Y9,Fqs,Z9,Fys,AA9,Fcd,AB9,Fqd,AC9,Fyd,AD9,Fci,AE9,Fqi,AF9,Fyi,AG9,g1ave,IF(dw&gt;=D0,g1u,IF(dw&lt;=0,g1sat,(g1u*dw+g1sat*(D0-dw))/D0)),g1eff,IF(dw&gt;=D0,g1u,IF(dw&lt;=0,g1sat-gw,(g1u*dw+(g1sat-gw)*(D0-dw))/D0)),g2width,IF(shape="S",B0,Bef),g2ave,IF(dw&gt;=D0+g2width,g2u,IF(dw&lt;=D0,g2sat,(g2u*(dw-D0)+g2sat*(g2width-(dw-D0)))/g2width)),g2eff,IF(dw&gt;=D0+g2width,g2u,IF(dw&lt;=D0,g2sat-gw,(g2u*(dw-D0)+(g2sat-gw)*(g2width-(dw-D0)))/g2width)),g1used,IF(analysis="T",g1ave,g1eff),g2used,IF(analysis="T",g2ave,g2eff),q,g1used*D0,c2*Nc*Fcs*Fcd*Fci+q*Nq*Fqs*Fqd*Fqi+0.5*Bef*g2used*Ny*Fys*Fyd*Fyi)</x:f>
      </x:c>
      <x:c r="I9" s="16" t="e">
        <x:f>H9/Shallow_Input!AB9</x:f>
      </x:c>
      <x:c r="J9" s="16" t="e">
        <x:f>H9*T9</x:f>
      </x:c>
      <x:c r="K9" s="16" t="e">
        <x:f>I9*T9</x:f>
      </x:c>
      <x:c r="L9" s="16" t="e">
        <x:f>G9/(D9*E9)*(1+6*N9/D9+6*O9/E9)</x:f>
      </x:c>
      <x:c r="M9" s="16" t="e">
        <x:f>G9/(D9*E9)*(1-6*N9/D9-6*O9/E9)</x:f>
      </x:c>
      <x:c r="N9" s="16" t="e">
        <x:f>ABS((Shallow_Input!Z9*Shallow_Input!H9*Shallow_Input!I9*MAX(Shallow_Input!F9-Shallow_Input!G9,0)+Shallow_Input!M9)*Shallow_Input!J9+Shallow_Input!P9*Shallow_Input!F9+Shallow_Input!O9)/G9</x:f>
      </x:c>
      <x:c r="O9" s="16" t="e">
        <x:f>ABS(((Shallow_Input!Z9*Shallow_Input!H9*Shallow_Input!I9*MAX(Shallow_Input!F9-Shallow_Input!G9,0)+Shallow_Input!M9)*IF(B9="S",0,Shallow_Input!K9)+Shallow_Input!Q9*Shallow_Input!F9+IF(B9="S",0,Shallow_Input!N9))/G9)</x:f>
      </x:c>
      <x:c r="P9" s="16" t="e">
        <x:f>D9-2*N9</x:f>
      </x:c>
      <x:c r="Q9" s="16" t="e">
        <x:f>E9-2*O9</x:f>
      </x:c>
      <x:c r="R9" s="16" t="e">
        <x:f>MAX(P9,0.000001)</x:f>
      </x:c>
      <x:c r="S9" s="16" t="e">
        <x:f>IF(B9="S",1,MAX(Q9,0.000001))</x:f>
      </x:c>
      <x:c r="T9" s="16" t="e">
        <x:f>R9*S9</x:f>
      </x:c>
      <x:c r="U9" s="16" t="e">
        <x:f>DEGREES(ATAN(SQRT(Shallow_Input!P9^2+Shallow_Input!Q9^2)/G9))</x:f>
      </x:c>
      <x:c r="V9" s="16" t="n">
        <x:f>EXP(PI()*TAN(RADIANS(Shallow_Input!Y9)))*TAN(PI()/4+RADIANS(Shallow_Input!Y9)/2)^2</x:f>
        <x:v>0.9999999999999998</x:v>
      </x:c>
      <x:c r="W9" s="16" t="n">
        <x:f>IF(ABS(TAN(RADIANS(Shallow_Input!Y9)))&gt;0.0000001,(V9-1)/TAN(RADIANS(Shallow_Input!Y9)),5.14)</x:f>
        <x:v>5.14</x:v>
      </x:c>
      <x:c r="X9" s="16" t="n">
        <x:f>2*(V9+1)*TAN(RADIANS(Shallow_Input!Y9))</x:f>
        <x:v>0</x:v>
      </x:c>
      <x:c r="Y9" s="16" t="e">
        <x:f>IF(B9="S",1,1+R9/S9*V9/MAX(W9,0.000001))</x:f>
      </x:c>
      <x:c r="Z9" s="16" t="e">
        <x:f>IF(B9="S",1,1+R9/S9*TAN(RADIANS(Shallow_Input!Y9)))</x:f>
      </x:c>
      <x:c r="AA9" s="16" t="e">
        <x:f>IF(B9="S",1,1-0.4*R9/S9)</x:f>
      </x:c>
      <x:c r="AB9" s="16" t="e">
        <x:f>1+0.4*IF(F9/MAX(R9,0.000001)&lt;=1,F9/MAX(R9,0.000001),ATAN(F9/MAX(R9,0.000001)))</x:f>
      </x:c>
      <x:c r="AC9" s="16" t="e">
        <x:f>1+2*TAN(RADIANS(Shallow_Input!U9))*(1-SIN(RADIANS(Shallow_Input!U9)))^2*IF(F9/MAX(R9,0.000001)&lt;=1,F9/MAX(R9,0.000001),ATAN(F9/MAX(R9,0.000001)))</x:f>
      </x:c>
      <x:c r="AD9" s="16" t="n">
        <x:f>1</x:f>
        <x:v>1</x:v>
      </x:c>
      <x:c r="AE9" s="16" t="e">
        <x:f>(1-U9/90)^2</x:f>
      </x:c>
      <x:c r="AF9" s="16" t="e">
        <x:f>(1-U9/90)^2</x:f>
      </x:c>
      <x:c r="AG9" s="16" t="n">
        <x:f>IF(Shallow_Input!Y9&gt;0,(1-U9/Shallow_Input!Y9)^2,1)</x:f>
        <x:v>1</x:v>
      </x:c>
      <x:c r="AH9" s="16" t="e">
        <x:f>J9/MAX(G9,0.000001)</x:f>
      </x:c>
      <x:c r="AI9" s="16" t="e">
        <x:f>H9/MAX(L9,0.000001)</x:f>
      </x:c>
      <x:c r="AJ9" s="16" t="e">
        <x:f>IF(K9&gt;=G9,"OK","NG")</x:f>
      </x:c>
      <x:c r="AK9" s="16" t="e">
        <x:f>IF(I9&gt;=L9,"OK","NG")</x:f>
      </x:c>
      <x:c r="AL9" s="16" t="e">
        <x:f>IF(M9&gt;=0,"OK","NG")</x:f>
      </x:c>
      <x:c r="AM9" s="16" t="e">
        <x:f>IF(F9/MAX(R9,0.000001)&lt;=1,"Shallow","Deep")</x:f>
      </x:c>
    </x:row>
    <x:row r="10">
      <x:c r="A10" s="16" t="n">
        <x:f>Shallow_Input!A10</x:f>
        <x:v>0</x:v>
      </x:c>
      <x:c r="B10" s="16" t="n">
        <x:f>Shallow_Input!B10</x:f>
        <x:v>0</x:v>
      </x:c>
      <x:c r="C10" s="16" t="n">
        <x:f>Shallow_Input!C10</x:f>
        <x:v>0</x:v>
      </x:c>
      <x:c r="D10" s="16" t="n">
        <x:f>Shallow_Input!D10</x:f>
        <x:v>0</x:v>
      </x:c>
      <x:c r="E10" s="16" t="e">
        <x:f>IF(B10="S",1,Shallow_Input!E10)</x:f>
      </x:c>
      <x:c r="F10" s="16" t="n">
        <x:f>Shallow_Input!F10</x:f>
        <x:v>0</x:v>
      </x:c>
      <x:c r="G10" s="16" t="e">
        <x:f>LET(B0,D10,L0,E10,D0,F10,t,Shallow_Input!G10,Cx,Shallow_Input!H10,Cy,Shallow_Input!I10,Ox,Shallow_Input!J10,Oy,IF(B10="S",0,Shallow_Input!K10),dw,Shallow_Input!L10,Qc,Shallow_Input!M10,g1u,Shallow_Input!R10,g1sat,Shallow_Input!S10,gc,Shallow_Input!Z10,g1ave,IF(dw&gt;=D0,g1u,IF(dw&lt;=0,g1sat,(g1u*dw+g1sat*(D0-dw))/D0)),g1ave*MAX(B0*L0-Cx*Cy,0)*MAX(D0-t,0)+gc*Cx*Cy*MAX(D0-t,0)+t*B0*L0*gc+Qc)</x:f>
      </x:c>
      <x:c r="H10" s="16" t="e">
        <x:f>LET(shape,B10,B0,D10,L0,E10,D0,F10,dw,Shallow_Input!L10,g1u,Shallow_Input!R10,g1sat,Shallow_Input!S10,gw,Shallow_Input!AA10,g2u,Shallow_Input!V10,g2sat,Shallow_Input!W10,analysis,C10,c2,Shallow_Input!X10,phi1,Shallow_Input!U10,phi2,Shallow_Input!Y10,Bef,R10,Nq,V10,Nc,W10,Ny,X10,Fcs,Y10,Fqs,Z10,Fys,AA10,Fcd,AB10,Fqd,AC10,Fyd,AD10,Fci,AE10,Fqi,AF10,Fyi,AG10,g1ave,IF(dw&gt;=D0,g1u,IF(dw&lt;=0,g1sat,(g1u*dw+g1sat*(D0-dw))/D0)),g1eff,IF(dw&gt;=D0,g1u,IF(dw&lt;=0,g1sat-gw,(g1u*dw+(g1sat-gw)*(D0-dw))/D0)),g2width,IF(shape="S",B0,Bef),g2ave,IF(dw&gt;=D0+g2width,g2u,IF(dw&lt;=D0,g2sat,(g2u*(dw-D0)+g2sat*(g2width-(dw-D0)))/g2width)),g2eff,IF(dw&gt;=D0+g2width,g2u,IF(dw&lt;=D0,g2sat-gw,(g2u*(dw-D0)+(g2sat-gw)*(g2width-(dw-D0)))/g2width)),g1used,IF(analysis="T",g1ave,g1eff),g2used,IF(analysis="T",g2ave,g2eff),q,g1used*D0,c2*Nc*Fcs*Fcd*Fci+q*Nq*Fqs*Fqd*Fqi+0.5*Bef*g2used*Ny*Fys*Fyd*Fyi)</x:f>
      </x:c>
      <x:c r="I10" s="16" t="e">
        <x:f>H10/Shallow_Input!AB10</x:f>
      </x:c>
      <x:c r="J10" s="16" t="e">
        <x:f>H10*T10</x:f>
      </x:c>
      <x:c r="K10" s="16" t="e">
        <x:f>I10*T10</x:f>
      </x:c>
      <x:c r="L10" s="16" t="e">
        <x:f>G10/(D10*E10)*(1+6*N10/D10+6*O10/E10)</x:f>
      </x:c>
      <x:c r="M10" s="16" t="e">
        <x:f>G10/(D10*E10)*(1-6*N10/D10-6*O10/E10)</x:f>
      </x:c>
      <x:c r="N10" s="16" t="e">
        <x:f>ABS((Shallow_Input!Z10*Shallow_Input!H10*Shallow_Input!I10*MAX(Shallow_Input!F10-Shallow_Input!G10,0)+Shallow_Input!M10)*Shallow_Input!J10+Shallow_Input!P10*Shallow_Input!F10+Shallow_Input!O10)/G10</x:f>
      </x:c>
      <x:c r="O10" s="16" t="e">
        <x:f>ABS(((Shallow_Input!Z10*Shallow_Input!H10*Shallow_Input!I10*MAX(Shallow_Input!F10-Shallow_Input!G10,0)+Shallow_Input!M10)*IF(B10="S",0,Shallow_Input!K10)+Shallow_Input!Q10*Shallow_Input!F10+IF(B10="S",0,Shallow_Input!N10))/G10)</x:f>
      </x:c>
      <x:c r="P10" s="16" t="e">
        <x:f>D10-2*N10</x:f>
      </x:c>
      <x:c r="Q10" s="16" t="e">
        <x:f>E10-2*O10</x:f>
      </x:c>
      <x:c r="R10" s="16" t="e">
        <x:f>MAX(P10,0.000001)</x:f>
      </x:c>
      <x:c r="S10" s="16" t="e">
        <x:f>IF(B10="S",1,MAX(Q10,0.000001))</x:f>
      </x:c>
      <x:c r="T10" s="16" t="e">
        <x:f>R10*S10</x:f>
      </x:c>
      <x:c r="U10" s="16" t="e">
        <x:f>DEGREES(ATAN(SQRT(Shallow_Input!P10^2+Shallow_Input!Q10^2)/G10))</x:f>
      </x:c>
      <x:c r="V10" s="16" t="n">
        <x:f>EXP(PI()*TAN(RADIANS(Shallow_Input!Y10)))*TAN(PI()/4+RADIANS(Shallow_Input!Y10)/2)^2</x:f>
        <x:v>0.9999999999999998</x:v>
      </x:c>
      <x:c r="W10" s="16" t="n">
        <x:f>IF(ABS(TAN(RADIANS(Shallow_Input!Y10)))&gt;0.0000001,(V10-1)/TAN(RADIANS(Shallow_Input!Y10)),5.14)</x:f>
        <x:v>5.14</x:v>
      </x:c>
      <x:c r="X10" s="16" t="n">
        <x:f>2*(V10+1)*TAN(RADIANS(Shallow_Input!Y10))</x:f>
        <x:v>0</x:v>
      </x:c>
      <x:c r="Y10" s="16" t="e">
        <x:f>IF(B10="S",1,1+R10/S10*V10/MAX(W10,0.000001))</x:f>
      </x:c>
      <x:c r="Z10" s="16" t="e">
        <x:f>IF(B10="S",1,1+R10/S10*TAN(RADIANS(Shallow_Input!Y10)))</x:f>
      </x:c>
      <x:c r="AA10" s="16" t="e">
        <x:f>IF(B10="S",1,1-0.4*R10/S10)</x:f>
      </x:c>
      <x:c r="AB10" s="16" t="e">
        <x:f>1+0.4*IF(F10/MAX(R10,0.000001)&lt;=1,F10/MAX(R10,0.000001),ATAN(F10/MAX(R10,0.000001)))</x:f>
      </x:c>
      <x:c r="AC10" s="16" t="e">
        <x:f>1+2*TAN(RADIANS(Shallow_Input!U10))*(1-SIN(RADIANS(Shallow_Input!U10)))^2*IF(F10/MAX(R10,0.000001)&lt;=1,F10/MAX(R10,0.000001),ATAN(F10/MAX(R10,0.000001)))</x:f>
      </x:c>
      <x:c r="AD10" s="16" t="n">
        <x:f>1</x:f>
        <x:v>1</x:v>
      </x:c>
      <x:c r="AE10" s="16" t="e">
        <x:f>(1-U10/90)^2</x:f>
      </x:c>
      <x:c r="AF10" s="16" t="e">
        <x:f>(1-U10/90)^2</x:f>
      </x:c>
      <x:c r="AG10" s="16" t="n">
        <x:f>IF(Shallow_Input!Y10&gt;0,(1-U10/Shallow_Input!Y10)^2,1)</x:f>
        <x:v>1</x:v>
      </x:c>
      <x:c r="AH10" s="16" t="e">
        <x:f>J10/MAX(G10,0.000001)</x:f>
      </x:c>
      <x:c r="AI10" s="16" t="e">
        <x:f>H10/MAX(L10,0.000001)</x:f>
      </x:c>
      <x:c r="AJ10" s="16" t="e">
        <x:f>IF(K10&gt;=G10,"OK","NG")</x:f>
      </x:c>
      <x:c r="AK10" s="16" t="e">
        <x:f>IF(I10&gt;=L10,"OK","NG")</x:f>
      </x:c>
      <x:c r="AL10" s="16" t="e">
        <x:f>IF(M10&gt;=0,"OK","NG")</x:f>
      </x:c>
      <x:c r="AM10" s="16" t="e">
        <x:f>IF(F10/MAX(R10,0.000001)&lt;=1,"Shallow","Deep")</x:f>
      </x:c>
    </x:row>
    <x:row r="11">
      <x:c r="A11" s="16" t="n">
        <x:f>Shallow_Input!A11</x:f>
        <x:v>0</x:v>
      </x:c>
      <x:c r="B11" s="16" t="n">
        <x:f>Shallow_Input!B11</x:f>
        <x:v>0</x:v>
      </x:c>
      <x:c r="C11" s="16" t="n">
        <x:f>Shallow_Input!C11</x:f>
        <x:v>0</x:v>
      </x:c>
      <x:c r="D11" s="16" t="n">
        <x:f>Shallow_Input!D11</x:f>
        <x:v>0</x:v>
      </x:c>
      <x:c r="E11" s="16" t="e">
        <x:f>IF(B11="S",1,Shallow_Input!E11)</x:f>
      </x:c>
      <x:c r="F11" s="16" t="n">
        <x:f>Shallow_Input!F11</x:f>
        <x:v>0</x:v>
      </x:c>
      <x:c r="G11" s="16" t="e">
        <x:f>LET(B0,D11,L0,E11,D0,F11,t,Shallow_Input!G11,Cx,Shallow_Input!H11,Cy,Shallow_Input!I11,Ox,Shallow_Input!J11,Oy,IF(B11="S",0,Shallow_Input!K11),dw,Shallow_Input!L11,Qc,Shallow_Input!M11,g1u,Shallow_Input!R11,g1sat,Shallow_Input!S11,gc,Shallow_Input!Z11,g1ave,IF(dw&gt;=D0,g1u,IF(dw&lt;=0,g1sat,(g1u*dw+g1sat*(D0-dw))/D0)),g1ave*MAX(B0*L0-Cx*Cy,0)*MAX(D0-t,0)+gc*Cx*Cy*MAX(D0-t,0)+t*B0*L0*gc+Qc)</x:f>
      </x:c>
      <x:c r="H11" s="16" t="e">
        <x:f>LET(shape,B11,B0,D11,L0,E11,D0,F11,dw,Shallow_Input!L11,g1u,Shallow_Input!R11,g1sat,Shallow_Input!S11,gw,Shallow_Input!AA11,g2u,Shallow_Input!V11,g2sat,Shallow_Input!W11,analysis,C11,c2,Shallow_Input!X11,phi1,Shallow_Input!U11,phi2,Shallow_Input!Y11,Bef,R11,Nq,V11,Nc,W11,Ny,X11,Fcs,Y11,Fqs,Z11,Fys,AA11,Fcd,AB11,Fqd,AC11,Fyd,AD11,Fci,AE11,Fqi,AF11,Fyi,AG11,g1ave,IF(dw&gt;=D0,g1u,IF(dw&lt;=0,g1sat,(g1u*dw+g1sat*(D0-dw))/D0)),g1eff,IF(dw&gt;=D0,g1u,IF(dw&lt;=0,g1sat-gw,(g1u*dw+(g1sat-gw)*(D0-dw))/D0)),g2width,IF(shape="S",B0,Bef),g2ave,IF(dw&gt;=D0+g2width,g2u,IF(dw&lt;=D0,g2sat,(g2u*(dw-D0)+g2sat*(g2width-(dw-D0)))/g2width)),g2eff,IF(dw&gt;=D0+g2width,g2u,IF(dw&lt;=D0,g2sat-gw,(g2u*(dw-D0)+(g2sat-gw)*(g2width-(dw-D0)))/g2width)),g1used,IF(analysis="T",g1ave,g1eff),g2used,IF(analysis="T",g2ave,g2eff),q,g1used*D0,c2*Nc*Fcs*Fcd*Fci+q*Nq*Fqs*Fqd*Fqi+0.5*Bef*g2used*Ny*Fys*Fyd*Fyi)</x:f>
      </x:c>
      <x:c r="I11" s="16" t="e">
        <x:f>H11/Shallow_Input!AB11</x:f>
      </x:c>
      <x:c r="J11" s="16" t="e">
        <x:f>H11*T11</x:f>
      </x:c>
      <x:c r="K11" s="16" t="e">
        <x:f>I11*T11</x:f>
      </x:c>
      <x:c r="L11" s="16" t="e">
        <x:f>G11/(D11*E11)*(1+6*N11/D11+6*O11/E11)</x:f>
      </x:c>
      <x:c r="M11" s="16" t="e">
        <x:f>G11/(D11*E11)*(1-6*N11/D11-6*O11/E11)</x:f>
      </x:c>
      <x:c r="N11" s="16" t="e">
        <x:f>ABS((Shallow_Input!Z11*Shallow_Input!H11*Shallow_Input!I11*MAX(Shallow_Input!F11-Shallow_Input!G11,0)+Shallow_Input!M11)*Shallow_Input!J11+Shallow_Input!P11*Shallow_Input!F11+Shallow_Input!O11)/G11</x:f>
      </x:c>
      <x:c r="O11" s="16" t="e">
        <x:f>ABS(((Shallow_Input!Z11*Shallow_Input!H11*Shallow_Input!I11*MAX(Shallow_Input!F11-Shallow_Input!G11,0)+Shallow_Input!M11)*IF(B11="S",0,Shallow_Input!K11)+Shallow_Input!Q11*Shallow_Input!F11+IF(B11="S",0,Shallow_Input!N11))/G11)</x:f>
      </x:c>
      <x:c r="P11" s="16" t="e">
        <x:f>D11-2*N11</x:f>
      </x:c>
      <x:c r="Q11" s="16" t="e">
        <x:f>E11-2*O11</x:f>
      </x:c>
      <x:c r="R11" s="16" t="e">
        <x:f>MAX(P11,0.000001)</x:f>
      </x:c>
      <x:c r="S11" s="16" t="e">
        <x:f>IF(B11="S",1,MAX(Q11,0.000001))</x:f>
      </x:c>
      <x:c r="T11" s="16" t="e">
        <x:f>R11*S11</x:f>
      </x:c>
      <x:c r="U11" s="16" t="e">
        <x:f>DEGREES(ATAN(SQRT(Shallow_Input!P11^2+Shallow_Input!Q11^2)/G11))</x:f>
      </x:c>
      <x:c r="V11" s="16" t="n">
        <x:f>EXP(PI()*TAN(RADIANS(Shallow_Input!Y11)))*TAN(PI()/4+RADIANS(Shallow_Input!Y11)/2)^2</x:f>
        <x:v>0.9999999999999998</x:v>
      </x:c>
      <x:c r="W11" s="16" t="n">
        <x:f>IF(ABS(TAN(RADIANS(Shallow_Input!Y11)))&gt;0.0000001,(V11-1)/TAN(RADIANS(Shallow_Input!Y11)),5.14)</x:f>
        <x:v>5.14</x:v>
      </x:c>
      <x:c r="X11" s="16" t="n">
        <x:f>2*(V11+1)*TAN(RADIANS(Shallow_Input!Y11))</x:f>
        <x:v>0</x:v>
      </x:c>
      <x:c r="Y11" s="16" t="e">
        <x:f>IF(B11="S",1,1+R11/S11*V11/MAX(W11,0.000001))</x:f>
      </x:c>
      <x:c r="Z11" s="16" t="e">
        <x:f>IF(B11="S",1,1+R11/S11*TAN(RADIANS(Shallow_Input!Y11)))</x:f>
      </x:c>
      <x:c r="AA11" s="16" t="e">
        <x:f>IF(B11="S",1,1-0.4*R11/S11)</x:f>
      </x:c>
      <x:c r="AB11" s="16" t="e">
        <x:f>1+0.4*IF(F11/MAX(R11,0.000001)&lt;=1,F11/MAX(R11,0.000001),ATAN(F11/MAX(R11,0.000001)))</x:f>
      </x:c>
      <x:c r="AC11" s="16" t="e">
        <x:f>1+2*TAN(RADIANS(Shallow_Input!U11))*(1-SIN(RADIANS(Shallow_Input!U11)))^2*IF(F11/MAX(R11,0.000001)&lt;=1,F11/MAX(R11,0.000001),ATAN(F11/MAX(R11,0.000001)))</x:f>
      </x:c>
      <x:c r="AD11" s="16" t="n">
        <x:f>1</x:f>
        <x:v>1</x:v>
      </x:c>
      <x:c r="AE11" s="16" t="e">
        <x:f>(1-U11/90)^2</x:f>
      </x:c>
      <x:c r="AF11" s="16" t="e">
        <x:f>(1-U11/90)^2</x:f>
      </x:c>
      <x:c r="AG11" s="16" t="n">
        <x:f>IF(Shallow_Input!Y11&gt;0,(1-U11/Shallow_Input!Y11)^2,1)</x:f>
        <x:v>1</x:v>
      </x:c>
      <x:c r="AH11" s="16" t="e">
        <x:f>J11/MAX(G11,0.000001)</x:f>
      </x:c>
      <x:c r="AI11" s="16" t="e">
        <x:f>H11/MAX(L11,0.000001)</x:f>
      </x:c>
      <x:c r="AJ11" s="16" t="e">
        <x:f>IF(K11&gt;=G11,"OK","NG")</x:f>
      </x:c>
      <x:c r="AK11" s="16" t="e">
        <x:f>IF(I11&gt;=L11,"OK","NG")</x:f>
      </x:c>
      <x:c r="AL11" s="16" t="e">
        <x:f>IF(M11&gt;=0,"OK","NG")</x:f>
      </x:c>
      <x:c r="AM11" s="16" t="e">
        <x:f>IF(F11/MAX(R11,0.000001)&lt;=1,"Shallow","Deep")</x:f>
      </x:c>
    </x:row>
    <x:row r="12">
      <x:c r="A12" s="16" t="n">
        <x:f>Shallow_Input!A12</x:f>
        <x:v>0</x:v>
      </x:c>
      <x:c r="B12" s="16" t="n">
        <x:f>Shallow_Input!B12</x:f>
        <x:v>0</x:v>
      </x:c>
      <x:c r="C12" s="16" t="n">
        <x:f>Shallow_Input!C12</x:f>
        <x:v>0</x:v>
      </x:c>
      <x:c r="D12" s="16" t="n">
        <x:f>Shallow_Input!D12</x:f>
        <x:v>0</x:v>
      </x:c>
      <x:c r="E12" s="16" t="e">
        <x:f>IF(B12="S",1,Shallow_Input!E12)</x:f>
      </x:c>
      <x:c r="F12" s="16" t="n">
        <x:f>Shallow_Input!F12</x:f>
        <x:v>0</x:v>
      </x:c>
      <x:c r="G12" s="16" t="e">
        <x:f>LET(B0,D12,L0,E12,D0,F12,t,Shallow_Input!G12,Cx,Shallow_Input!H12,Cy,Shallow_Input!I12,Ox,Shallow_Input!J12,Oy,IF(B12="S",0,Shallow_Input!K12),dw,Shallow_Input!L12,Qc,Shallow_Input!M12,g1u,Shallow_Input!R12,g1sat,Shallow_Input!S12,gc,Shallow_Input!Z12,g1ave,IF(dw&gt;=D0,g1u,IF(dw&lt;=0,g1sat,(g1u*dw+g1sat*(D0-dw))/D0)),g1ave*MAX(B0*L0-Cx*Cy,0)*MAX(D0-t,0)+gc*Cx*Cy*MAX(D0-t,0)+t*B0*L0*gc+Qc)</x:f>
      </x:c>
      <x:c r="H12" s="16" t="e">
        <x:f>LET(shape,B12,B0,D12,L0,E12,D0,F12,dw,Shallow_Input!L12,g1u,Shallow_Input!R12,g1sat,Shallow_Input!S12,gw,Shallow_Input!AA12,g2u,Shallow_Input!V12,g2sat,Shallow_Input!W12,analysis,C12,c2,Shallow_Input!X12,phi1,Shallow_Input!U12,phi2,Shallow_Input!Y12,Bef,R12,Nq,V12,Nc,W12,Ny,X12,Fcs,Y12,Fqs,Z12,Fys,AA12,Fcd,AB12,Fqd,AC12,Fyd,AD12,Fci,AE12,Fqi,AF12,Fyi,AG12,g1ave,IF(dw&gt;=D0,g1u,IF(dw&lt;=0,g1sat,(g1u*dw+g1sat*(D0-dw))/D0)),g1eff,IF(dw&gt;=D0,g1u,IF(dw&lt;=0,g1sat-gw,(g1u*dw+(g1sat-gw)*(D0-dw))/D0)),g2width,IF(shape="S",B0,Bef),g2ave,IF(dw&gt;=D0+g2width,g2u,IF(dw&lt;=D0,g2sat,(g2u*(dw-D0)+g2sat*(g2width-(dw-D0)))/g2width)),g2eff,IF(dw&gt;=D0+g2width,g2u,IF(dw&lt;=D0,g2sat-gw,(g2u*(dw-D0)+(g2sat-gw)*(g2width-(dw-D0)))/g2width)),g1used,IF(analysis="T",g1ave,g1eff),g2used,IF(analysis="T",g2ave,g2eff),q,g1used*D0,c2*Nc*Fcs*Fcd*Fci+q*Nq*Fqs*Fqd*Fqi+0.5*Bef*g2used*Ny*Fys*Fyd*Fyi)</x:f>
      </x:c>
      <x:c r="I12" s="16" t="e">
        <x:f>H12/Shallow_Input!AB12</x:f>
      </x:c>
      <x:c r="J12" s="16" t="e">
        <x:f>H12*T12</x:f>
      </x:c>
      <x:c r="K12" s="16" t="e">
        <x:f>I12*T12</x:f>
      </x:c>
      <x:c r="L12" s="16" t="e">
        <x:f>G12/(D12*E12)*(1+6*N12/D12+6*O12/E12)</x:f>
      </x:c>
      <x:c r="M12" s="16" t="e">
        <x:f>G12/(D12*E12)*(1-6*N12/D12-6*O12/E12)</x:f>
      </x:c>
      <x:c r="N12" s="16" t="e">
        <x:f>ABS((Shallow_Input!Z12*Shallow_Input!H12*Shallow_Input!I12*MAX(Shallow_Input!F12-Shallow_Input!G12,0)+Shallow_Input!M12)*Shallow_Input!J12+Shallow_Input!P12*Shallow_Input!F12+Shallow_Input!O12)/G12</x:f>
      </x:c>
      <x:c r="O12" s="16" t="e">
        <x:f>ABS(((Shallow_Input!Z12*Shallow_Input!H12*Shallow_Input!I12*MAX(Shallow_Input!F12-Shallow_Input!G12,0)+Shallow_Input!M12)*IF(B12="S",0,Shallow_Input!K12)+Shallow_Input!Q12*Shallow_Input!F12+IF(B12="S",0,Shallow_Input!N12))/G12)</x:f>
      </x:c>
      <x:c r="P12" s="16" t="e">
        <x:f>D12-2*N12</x:f>
      </x:c>
      <x:c r="Q12" s="16" t="e">
        <x:f>E12-2*O12</x:f>
      </x:c>
      <x:c r="R12" s="16" t="e">
        <x:f>MAX(P12,0.000001)</x:f>
      </x:c>
      <x:c r="S12" s="16" t="e">
        <x:f>IF(B12="S",1,MAX(Q12,0.000001))</x:f>
      </x:c>
      <x:c r="T12" s="16" t="e">
        <x:f>R12*S12</x:f>
      </x:c>
      <x:c r="U12" s="16" t="e">
        <x:f>DEGREES(ATAN(SQRT(Shallow_Input!P12^2+Shallow_Input!Q12^2)/G12))</x:f>
      </x:c>
      <x:c r="V12" s="16" t="n">
        <x:f>EXP(PI()*TAN(RADIANS(Shallow_Input!Y12)))*TAN(PI()/4+RADIANS(Shallow_Input!Y12)/2)^2</x:f>
        <x:v>0.9999999999999998</x:v>
      </x:c>
      <x:c r="W12" s="16" t="n">
        <x:f>IF(ABS(TAN(RADIANS(Shallow_Input!Y12)))&gt;0.0000001,(V12-1)/TAN(RADIANS(Shallow_Input!Y12)),5.14)</x:f>
        <x:v>5.14</x:v>
      </x:c>
      <x:c r="X12" s="16" t="n">
        <x:f>2*(V12+1)*TAN(RADIANS(Shallow_Input!Y12))</x:f>
        <x:v>0</x:v>
      </x:c>
      <x:c r="Y12" s="16" t="e">
        <x:f>IF(B12="S",1,1+R12/S12*V12/MAX(W12,0.000001))</x:f>
      </x:c>
      <x:c r="Z12" s="16" t="e">
        <x:f>IF(B12="S",1,1+R12/S12*TAN(RADIANS(Shallow_Input!Y12)))</x:f>
      </x:c>
      <x:c r="AA12" s="16" t="e">
        <x:f>IF(B12="S",1,1-0.4*R12/S12)</x:f>
      </x:c>
      <x:c r="AB12" s="16" t="e">
        <x:f>1+0.4*IF(F12/MAX(R12,0.000001)&lt;=1,F12/MAX(R12,0.000001),ATAN(F12/MAX(R12,0.000001)))</x:f>
      </x:c>
      <x:c r="AC12" s="16" t="e">
        <x:f>1+2*TAN(RADIANS(Shallow_Input!U12))*(1-SIN(RADIANS(Shallow_Input!U12)))^2*IF(F12/MAX(R12,0.000001)&lt;=1,F12/MAX(R12,0.000001),ATAN(F12/MAX(R12,0.000001)))</x:f>
      </x:c>
      <x:c r="AD12" s="16" t="n">
        <x:f>1</x:f>
        <x:v>1</x:v>
      </x:c>
      <x:c r="AE12" s="16" t="e">
        <x:f>(1-U12/90)^2</x:f>
      </x:c>
      <x:c r="AF12" s="16" t="e">
        <x:f>(1-U12/90)^2</x:f>
      </x:c>
      <x:c r="AG12" s="16" t="n">
        <x:f>IF(Shallow_Input!Y12&gt;0,(1-U12/Shallow_Input!Y12)^2,1)</x:f>
        <x:v>1</x:v>
      </x:c>
      <x:c r="AH12" s="16" t="e">
        <x:f>J12/MAX(G12,0.000001)</x:f>
      </x:c>
      <x:c r="AI12" s="16" t="e">
        <x:f>H12/MAX(L12,0.000001)</x:f>
      </x:c>
      <x:c r="AJ12" s="16" t="e">
        <x:f>IF(K12&gt;=G12,"OK","NG")</x:f>
      </x:c>
      <x:c r="AK12" s="16" t="e">
        <x:f>IF(I12&gt;=L12,"OK","NG")</x:f>
      </x:c>
      <x:c r="AL12" s="16" t="e">
        <x:f>IF(M12&gt;=0,"OK","NG")</x:f>
      </x:c>
      <x:c r="AM12" s="16" t="e">
        <x:f>IF(F12/MAX(R12,0.000001)&lt;=1,"Shallow","Deep")</x:f>
      </x:c>
    </x:row>
    <x:row r="13">
      <x:c r="A13" s="16" t="n">
        <x:f>Shallow_Input!A13</x:f>
        <x:v>0</x:v>
      </x:c>
      <x:c r="B13" s="16" t="n">
        <x:f>Shallow_Input!B13</x:f>
        <x:v>0</x:v>
      </x:c>
      <x:c r="C13" s="16" t="n">
        <x:f>Shallow_Input!C13</x:f>
        <x:v>0</x:v>
      </x:c>
      <x:c r="D13" s="16" t="n">
        <x:f>Shallow_Input!D13</x:f>
        <x:v>0</x:v>
      </x:c>
      <x:c r="E13" s="16" t="e">
        <x:f>IF(B13="S",1,Shallow_Input!E13)</x:f>
      </x:c>
      <x:c r="F13" s="16" t="n">
        <x:f>Shallow_Input!F13</x:f>
        <x:v>0</x:v>
      </x:c>
      <x:c r="G13" s="16" t="e">
        <x:f>LET(B0,D13,L0,E13,D0,F13,t,Shallow_Input!G13,Cx,Shallow_Input!H13,Cy,Shallow_Input!I13,Ox,Shallow_Input!J13,Oy,IF(B13="S",0,Shallow_Input!K13),dw,Shallow_Input!L13,Qc,Shallow_Input!M13,g1u,Shallow_Input!R13,g1sat,Shallow_Input!S13,gc,Shallow_Input!Z13,g1ave,IF(dw&gt;=D0,g1u,IF(dw&lt;=0,g1sat,(g1u*dw+g1sat*(D0-dw))/D0)),g1ave*MAX(B0*L0-Cx*Cy,0)*MAX(D0-t,0)+gc*Cx*Cy*MAX(D0-t,0)+t*B0*L0*gc+Qc)</x:f>
      </x:c>
      <x:c r="H13" s="16" t="e">
        <x:f>LET(shape,B13,B0,D13,L0,E13,D0,F13,dw,Shallow_Input!L13,g1u,Shallow_Input!R13,g1sat,Shallow_Input!S13,gw,Shallow_Input!AA13,g2u,Shallow_Input!V13,g2sat,Shallow_Input!W13,analysis,C13,c2,Shallow_Input!X13,phi1,Shallow_Input!U13,phi2,Shallow_Input!Y13,Bef,R13,Nq,V13,Nc,W13,Ny,X13,Fcs,Y13,Fqs,Z13,Fys,AA13,Fcd,AB13,Fqd,AC13,Fyd,AD13,Fci,AE13,Fqi,AF13,Fyi,AG13,g1ave,IF(dw&gt;=D0,g1u,IF(dw&lt;=0,g1sat,(g1u*dw+g1sat*(D0-dw))/D0)),g1eff,IF(dw&gt;=D0,g1u,IF(dw&lt;=0,g1sat-gw,(g1u*dw+(g1sat-gw)*(D0-dw))/D0)),g2width,IF(shape="S",B0,Bef),g2ave,IF(dw&gt;=D0+g2width,g2u,IF(dw&lt;=D0,g2sat,(g2u*(dw-D0)+g2sat*(g2width-(dw-D0)))/g2width)),g2eff,IF(dw&gt;=D0+g2width,g2u,IF(dw&lt;=D0,g2sat-gw,(g2u*(dw-D0)+(g2sat-gw)*(g2width-(dw-D0)))/g2width)),g1used,IF(analysis="T",g1ave,g1eff),g2used,IF(analysis="T",g2ave,g2eff),q,g1used*D0,c2*Nc*Fcs*Fcd*Fci+q*Nq*Fqs*Fqd*Fqi+0.5*Bef*g2used*Ny*Fys*Fyd*Fyi)</x:f>
      </x:c>
      <x:c r="I13" s="16" t="e">
        <x:f>H13/Shallow_Input!AB13</x:f>
      </x:c>
      <x:c r="J13" s="16" t="e">
        <x:f>H13*T13</x:f>
      </x:c>
      <x:c r="K13" s="16" t="e">
        <x:f>I13*T13</x:f>
      </x:c>
      <x:c r="L13" s="16" t="e">
        <x:f>G13/(D13*E13)*(1+6*N13/D13+6*O13/E13)</x:f>
      </x:c>
      <x:c r="M13" s="16" t="e">
        <x:f>G13/(D13*E13)*(1-6*N13/D13-6*O13/E13)</x:f>
      </x:c>
      <x:c r="N13" s="16" t="e">
        <x:f>ABS((Shallow_Input!Z13*Shallow_Input!H13*Shallow_Input!I13*MAX(Shallow_Input!F13-Shallow_Input!G13,0)+Shallow_Input!M13)*Shallow_Input!J13+Shallow_Input!P13*Shallow_Input!F13+Shallow_Input!O13)/G13</x:f>
      </x:c>
      <x:c r="O13" s="16" t="e">
        <x:f>ABS(((Shallow_Input!Z13*Shallow_Input!H13*Shallow_Input!I13*MAX(Shallow_Input!F13-Shallow_Input!G13,0)+Shallow_Input!M13)*IF(B13="S",0,Shallow_Input!K13)+Shallow_Input!Q13*Shallow_Input!F13+IF(B13="S",0,Shallow_Input!N13))/G13)</x:f>
      </x:c>
      <x:c r="P13" s="16" t="e">
        <x:f>D13-2*N13</x:f>
      </x:c>
      <x:c r="Q13" s="16" t="e">
        <x:f>E13-2*O13</x:f>
      </x:c>
      <x:c r="R13" s="16" t="e">
        <x:f>MAX(P13,0.000001)</x:f>
      </x:c>
      <x:c r="S13" s="16" t="e">
        <x:f>IF(B13="S",1,MAX(Q13,0.000001))</x:f>
      </x:c>
      <x:c r="T13" s="16" t="e">
        <x:f>R13*S13</x:f>
      </x:c>
      <x:c r="U13" s="16" t="e">
        <x:f>DEGREES(ATAN(SQRT(Shallow_Input!P13^2+Shallow_Input!Q13^2)/G13))</x:f>
      </x:c>
      <x:c r="V13" s="16" t="n">
        <x:f>EXP(PI()*TAN(RADIANS(Shallow_Input!Y13)))*TAN(PI()/4+RADIANS(Shallow_Input!Y13)/2)^2</x:f>
        <x:v>0.9999999999999998</x:v>
      </x:c>
      <x:c r="W13" s="16" t="n">
        <x:f>IF(ABS(TAN(RADIANS(Shallow_Input!Y13)))&gt;0.0000001,(V13-1)/TAN(RADIANS(Shallow_Input!Y13)),5.14)</x:f>
        <x:v>5.14</x:v>
      </x:c>
      <x:c r="X13" s="16" t="n">
        <x:f>2*(V13+1)*TAN(RADIANS(Shallow_Input!Y13))</x:f>
        <x:v>0</x:v>
      </x:c>
      <x:c r="Y13" s="16" t="e">
        <x:f>IF(B13="S",1,1+R13/S13*V13/MAX(W13,0.000001))</x:f>
      </x:c>
      <x:c r="Z13" s="16" t="e">
        <x:f>IF(B13="S",1,1+R13/S13*TAN(RADIANS(Shallow_Input!Y13)))</x:f>
      </x:c>
      <x:c r="AA13" s="16" t="e">
        <x:f>IF(B13="S",1,1-0.4*R13/S13)</x:f>
      </x:c>
      <x:c r="AB13" s="16" t="e">
        <x:f>1+0.4*IF(F13/MAX(R13,0.000001)&lt;=1,F13/MAX(R13,0.000001),ATAN(F13/MAX(R13,0.000001)))</x:f>
      </x:c>
      <x:c r="AC13" s="16" t="e">
        <x:f>1+2*TAN(RADIANS(Shallow_Input!U13))*(1-SIN(RADIANS(Shallow_Input!U13)))^2*IF(F13/MAX(R13,0.000001)&lt;=1,F13/MAX(R13,0.000001),ATAN(F13/MAX(R13,0.000001)))</x:f>
      </x:c>
      <x:c r="AD13" s="16" t="n">
        <x:f>1</x:f>
        <x:v>1</x:v>
      </x:c>
      <x:c r="AE13" s="16" t="e">
        <x:f>(1-U13/90)^2</x:f>
      </x:c>
      <x:c r="AF13" s="16" t="e">
        <x:f>(1-U13/90)^2</x:f>
      </x:c>
      <x:c r="AG13" s="16" t="n">
        <x:f>IF(Shallow_Input!Y13&gt;0,(1-U13/Shallow_Input!Y13)^2,1)</x:f>
        <x:v>1</x:v>
      </x:c>
      <x:c r="AH13" s="16" t="e">
        <x:f>J13/MAX(G13,0.000001)</x:f>
      </x:c>
      <x:c r="AI13" s="16" t="e">
        <x:f>H13/MAX(L13,0.000001)</x:f>
      </x:c>
      <x:c r="AJ13" s="16" t="e">
        <x:f>IF(K13&gt;=G13,"OK","NG")</x:f>
      </x:c>
      <x:c r="AK13" s="16" t="e">
        <x:f>IF(I13&gt;=L13,"OK","NG")</x:f>
      </x:c>
      <x:c r="AL13" s="16" t="e">
        <x:f>IF(M13&gt;=0,"OK","NG")</x:f>
      </x:c>
      <x:c r="AM13" s="16" t="e">
        <x:f>IF(F13/MAX(R13,0.000001)&lt;=1,"Shallow","Deep")</x:f>
      </x:c>
    </x:row>
    <x:row r="14">
      <x:c r="A14" s="16" t="n">
        <x:f>Shallow_Input!A14</x:f>
        <x:v>0</x:v>
      </x:c>
      <x:c r="B14" s="16" t="n">
        <x:f>Shallow_Input!B14</x:f>
        <x:v>0</x:v>
      </x:c>
      <x:c r="C14" s="16" t="n">
        <x:f>Shallow_Input!C14</x:f>
        <x:v>0</x:v>
      </x:c>
      <x:c r="D14" s="16" t="n">
        <x:f>Shallow_Input!D14</x:f>
        <x:v>0</x:v>
      </x:c>
      <x:c r="E14" s="16" t="e">
        <x:f>IF(B14="S",1,Shallow_Input!E14)</x:f>
      </x:c>
      <x:c r="F14" s="16" t="n">
        <x:f>Shallow_Input!F14</x:f>
        <x:v>0</x:v>
      </x:c>
      <x:c r="G14" s="16" t="e">
        <x:f>LET(B0,D14,L0,E14,D0,F14,t,Shallow_Input!G14,Cx,Shallow_Input!H14,Cy,Shallow_Input!I14,Ox,Shallow_Input!J14,Oy,IF(B14="S",0,Shallow_Input!K14),dw,Shallow_Input!L14,Qc,Shallow_Input!M14,g1u,Shallow_Input!R14,g1sat,Shallow_Input!S14,gc,Shallow_Input!Z14,g1ave,IF(dw&gt;=D0,g1u,IF(dw&lt;=0,g1sat,(g1u*dw+g1sat*(D0-dw))/D0)),g1ave*MAX(B0*L0-Cx*Cy,0)*MAX(D0-t,0)+gc*Cx*Cy*MAX(D0-t,0)+t*B0*L0*gc+Qc)</x:f>
      </x:c>
      <x:c r="H14" s="16" t="e">
        <x:f>LET(shape,B14,B0,D14,L0,E14,D0,F14,dw,Shallow_Input!L14,g1u,Shallow_Input!R14,g1sat,Shallow_Input!S14,gw,Shallow_Input!AA14,g2u,Shallow_Input!V14,g2sat,Shallow_Input!W14,analysis,C14,c2,Shallow_Input!X14,phi1,Shallow_Input!U14,phi2,Shallow_Input!Y14,Bef,R14,Nq,V14,Nc,W14,Ny,X14,Fcs,Y14,Fqs,Z14,Fys,AA14,Fcd,AB14,Fqd,AC14,Fyd,AD14,Fci,AE14,Fqi,AF14,Fyi,AG14,g1ave,IF(dw&gt;=D0,g1u,IF(dw&lt;=0,g1sat,(g1u*dw+g1sat*(D0-dw))/D0)),g1eff,IF(dw&gt;=D0,g1u,IF(dw&lt;=0,g1sat-gw,(g1u*dw+(g1sat-gw)*(D0-dw))/D0)),g2width,IF(shape="S",B0,Bef),g2ave,IF(dw&gt;=D0+g2width,g2u,IF(dw&lt;=D0,g2sat,(g2u*(dw-D0)+g2sat*(g2width-(dw-D0)))/g2width)),g2eff,IF(dw&gt;=D0+g2width,g2u,IF(dw&lt;=D0,g2sat-gw,(g2u*(dw-D0)+(g2sat-gw)*(g2width-(dw-D0)))/g2width)),g1used,IF(analysis="T",g1ave,g1eff),g2used,IF(analysis="T",g2ave,g2eff),q,g1used*D0,c2*Nc*Fcs*Fcd*Fci+q*Nq*Fqs*Fqd*Fqi+0.5*Bef*g2used*Ny*Fys*Fyd*Fyi)</x:f>
      </x:c>
      <x:c r="I14" s="16" t="e">
        <x:f>H14/Shallow_Input!AB14</x:f>
      </x:c>
      <x:c r="J14" s="16" t="e">
        <x:f>H14*T14</x:f>
      </x:c>
      <x:c r="K14" s="16" t="e">
        <x:f>I14*T14</x:f>
      </x:c>
      <x:c r="L14" s="16" t="e">
        <x:f>G14/(D14*E14)*(1+6*N14/D14+6*O14/E14)</x:f>
      </x:c>
      <x:c r="M14" s="16" t="e">
        <x:f>G14/(D14*E14)*(1-6*N14/D14-6*O14/E14)</x:f>
      </x:c>
      <x:c r="N14" s="16" t="e">
        <x:f>ABS((Shallow_Input!Z14*Shallow_Input!H14*Shallow_Input!I14*MAX(Shallow_Input!F14-Shallow_Input!G14,0)+Shallow_Input!M14)*Shallow_Input!J14+Shallow_Input!P14*Shallow_Input!F14+Shallow_Input!O14)/G14</x:f>
      </x:c>
      <x:c r="O14" s="16" t="e">
        <x:f>ABS(((Shallow_Input!Z14*Shallow_Input!H14*Shallow_Input!I14*MAX(Shallow_Input!F14-Shallow_Input!G14,0)+Shallow_Input!M14)*IF(B14="S",0,Shallow_Input!K14)+Shallow_Input!Q14*Shallow_Input!F14+IF(B14="S",0,Shallow_Input!N14))/G14)</x:f>
      </x:c>
      <x:c r="P14" s="16" t="e">
        <x:f>D14-2*N14</x:f>
      </x:c>
      <x:c r="Q14" s="16" t="e">
        <x:f>E14-2*O14</x:f>
      </x:c>
      <x:c r="R14" s="16" t="e">
        <x:f>MAX(P14,0.000001)</x:f>
      </x:c>
      <x:c r="S14" s="16" t="e">
        <x:f>IF(B14="S",1,MAX(Q14,0.000001))</x:f>
      </x:c>
      <x:c r="T14" s="16" t="e">
        <x:f>R14*S14</x:f>
      </x:c>
      <x:c r="U14" s="16" t="e">
        <x:f>DEGREES(ATAN(SQRT(Shallow_Input!P14^2+Shallow_Input!Q14^2)/G14))</x:f>
      </x:c>
      <x:c r="V14" s="16" t="n">
        <x:f>EXP(PI()*TAN(RADIANS(Shallow_Input!Y14)))*TAN(PI()/4+RADIANS(Shallow_Input!Y14)/2)^2</x:f>
        <x:v>0.9999999999999998</x:v>
      </x:c>
      <x:c r="W14" s="16" t="n">
        <x:f>IF(ABS(TAN(RADIANS(Shallow_Input!Y14)))&gt;0.0000001,(V14-1)/TAN(RADIANS(Shallow_Input!Y14)),5.14)</x:f>
        <x:v>5.14</x:v>
      </x:c>
      <x:c r="X14" s="16" t="n">
        <x:f>2*(V14+1)*TAN(RADIANS(Shallow_Input!Y14))</x:f>
        <x:v>0</x:v>
      </x:c>
      <x:c r="Y14" s="16" t="e">
        <x:f>IF(B14="S",1,1+R14/S14*V14/MAX(W14,0.000001))</x:f>
      </x:c>
      <x:c r="Z14" s="16" t="e">
        <x:f>IF(B14="S",1,1+R14/S14*TAN(RADIANS(Shallow_Input!Y14)))</x:f>
      </x:c>
      <x:c r="AA14" s="16" t="e">
        <x:f>IF(B14="S",1,1-0.4*R14/S14)</x:f>
      </x:c>
      <x:c r="AB14" s="16" t="e">
        <x:f>1+0.4*IF(F14/MAX(R14,0.000001)&lt;=1,F14/MAX(R14,0.000001),ATAN(F14/MAX(R14,0.000001)))</x:f>
      </x:c>
      <x:c r="AC14" s="16" t="e">
        <x:f>1+2*TAN(RADIANS(Shallow_Input!U14))*(1-SIN(RADIANS(Shallow_Input!U14)))^2*IF(F14/MAX(R14,0.000001)&lt;=1,F14/MAX(R14,0.000001),ATAN(F14/MAX(R14,0.000001)))</x:f>
      </x:c>
      <x:c r="AD14" s="16" t="n">
        <x:f>1</x:f>
        <x:v>1</x:v>
      </x:c>
      <x:c r="AE14" s="16" t="e">
        <x:f>(1-U14/90)^2</x:f>
      </x:c>
      <x:c r="AF14" s="16" t="e">
        <x:f>(1-U14/90)^2</x:f>
      </x:c>
      <x:c r="AG14" s="16" t="n">
        <x:f>IF(Shallow_Input!Y14&gt;0,(1-U14/Shallow_Input!Y14)^2,1)</x:f>
        <x:v>1</x:v>
      </x:c>
      <x:c r="AH14" s="16" t="e">
        <x:f>J14/MAX(G14,0.000001)</x:f>
      </x:c>
      <x:c r="AI14" s="16" t="e">
        <x:f>H14/MAX(L14,0.000001)</x:f>
      </x:c>
      <x:c r="AJ14" s="16" t="e">
        <x:f>IF(K14&gt;=G14,"OK","NG")</x:f>
      </x:c>
      <x:c r="AK14" s="16" t="e">
        <x:f>IF(I14&gt;=L14,"OK","NG")</x:f>
      </x:c>
      <x:c r="AL14" s="16" t="e">
        <x:f>IF(M14&gt;=0,"OK","NG")</x:f>
      </x:c>
      <x:c r="AM14" s="16" t="e">
        <x:f>IF(F14/MAX(R14,0.000001)&lt;=1,"Shallow","Deep")</x:f>
      </x:c>
    </x:row>
    <x:row r="15">
      <x:c r="A15" s="16" t="n">
        <x:f>Shallow_Input!A15</x:f>
        <x:v>0</x:v>
      </x:c>
      <x:c r="B15" s="16" t="n">
        <x:f>Shallow_Input!B15</x:f>
        <x:v>0</x:v>
      </x:c>
      <x:c r="C15" s="16" t="n">
        <x:f>Shallow_Input!C15</x:f>
        <x:v>0</x:v>
      </x:c>
      <x:c r="D15" s="16" t="n">
        <x:f>Shallow_Input!D15</x:f>
        <x:v>0</x:v>
      </x:c>
      <x:c r="E15" s="16" t="e">
        <x:f>IF(B15="S",1,Shallow_Input!E15)</x:f>
      </x:c>
      <x:c r="F15" s="16" t="n">
        <x:f>Shallow_Input!F15</x:f>
        <x:v>0</x:v>
      </x:c>
      <x:c r="G15" s="16" t="e">
        <x:f>LET(B0,D15,L0,E15,D0,F15,t,Shallow_Input!G15,Cx,Shallow_Input!H15,Cy,Shallow_Input!I15,Ox,Shallow_Input!J15,Oy,IF(B15="S",0,Shallow_Input!K15),dw,Shallow_Input!L15,Qc,Shallow_Input!M15,g1u,Shallow_Input!R15,g1sat,Shallow_Input!S15,gc,Shallow_Input!Z15,g1ave,IF(dw&gt;=D0,g1u,IF(dw&lt;=0,g1sat,(g1u*dw+g1sat*(D0-dw))/D0)),g1ave*MAX(B0*L0-Cx*Cy,0)*MAX(D0-t,0)+gc*Cx*Cy*MAX(D0-t,0)+t*B0*L0*gc+Qc)</x:f>
      </x:c>
      <x:c r="H15" s="16" t="e">
        <x:f>LET(shape,B15,B0,D15,L0,E15,D0,F15,dw,Shallow_Input!L15,g1u,Shallow_Input!R15,g1sat,Shallow_Input!S15,gw,Shallow_Input!AA15,g2u,Shallow_Input!V15,g2sat,Shallow_Input!W15,analysis,C15,c2,Shallow_Input!X15,phi1,Shallow_Input!U15,phi2,Shallow_Input!Y15,Bef,R15,Nq,V15,Nc,W15,Ny,X15,Fcs,Y15,Fqs,Z15,Fys,AA15,Fcd,AB15,Fqd,AC15,Fyd,AD15,Fci,AE15,Fqi,AF15,Fyi,AG15,g1ave,IF(dw&gt;=D0,g1u,IF(dw&lt;=0,g1sat,(g1u*dw+g1sat*(D0-dw))/D0)),g1eff,IF(dw&gt;=D0,g1u,IF(dw&lt;=0,g1sat-gw,(g1u*dw+(g1sat-gw)*(D0-dw))/D0)),g2width,IF(shape="S",B0,Bef),g2ave,IF(dw&gt;=D0+g2width,g2u,IF(dw&lt;=D0,g2sat,(g2u*(dw-D0)+g2sat*(g2width-(dw-D0)))/g2width)),g2eff,IF(dw&gt;=D0+g2width,g2u,IF(dw&lt;=D0,g2sat-gw,(g2u*(dw-D0)+(g2sat-gw)*(g2width-(dw-D0)))/g2width)),g1used,IF(analysis="T",g1ave,g1eff),g2used,IF(analysis="T",g2ave,g2eff),q,g1used*D0,c2*Nc*Fcs*Fcd*Fci+q*Nq*Fqs*Fqd*Fqi+0.5*Bef*g2used*Ny*Fys*Fyd*Fyi)</x:f>
      </x:c>
      <x:c r="I15" s="16" t="e">
        <x:f>H15/Shallow_Input!AB15</x:f>
      </x:c>
      <x:c r="J15" s="16" t="e">
        <x:f>H15*T15</x:f>
      </x:c>
      <x:c r="K15" s="16" t="e">
        <x:f>I15*T15</x:f>
      </x:c>
      <x:c r="L15" s="16" t="e">
        <x:f>G15/(D15*E15)*(1+6*N15/D15+6*O15/E15)</x:f>
      </x:c>
      <x:c r="M15" s="16" t="e">
        <x:f>G15/(D15*E15)*(1-6*N15/D15-6*O15/E15)</x:f>
      </x:c>
      <x:c r="N15" s="16" t="e">
        <x:f>ABS((Shallow_Input!Z15*Shallow_Input!H15*Shallow_Input!I15*MAX(Shallow_Input!F15-Shallow_Input!G15,0)+Shallow_Input!M15)*Shallow_Input!J15+Shallow_Input!P15*Shallow_Input!F15+Shallow_Input!O15)/G15</x:f>
      </x:c>
      <x:c r="O15" s="16" t="e">
        <x:f>ABS(((Shallow_Input!Z15*Shallow_Input!H15*Shallow_Input!I15*MAX(Shallow_Input!F15-Shallow_Input!G15,0)+Shallow_Input!M15)*IF(B15="S",0,Shallow_Input!K15)+Shallow_Input!Q15*Shallow_Input!F15+IF(B15="S",0,Shallow_Input!N15))/G15)</x:f>
      </x:c>
      <x:c r="P15" s="16" t="e">
        <x:f>D15-2*N15</x:f>
      </x:c>
      <x:c r="Q15" s="16" t="e">
        <x:f>E15-2*O15</x:f>
      </x:c>
      <x:c r="R15" s="16" t="e">
        <x:f>MAX(P15,0.000001)</x:f>
      </x:c>
      <x:c r="S15" s="16" t="e">
        <x:f>IF(B15="S",1,MAX(Q15,0.000001))</x:f>
      </x:c>
      <x:c r="T15" s="16" t="e">
        <x:f>R15*S15</x:f>
      </x:c>
      <x:c r="U15" s="16" t="e">
        <x:f>DEGREES(ATAN(SQRT(Shallow_Input!P15^2+Shallow_Input!Q15^2)/G15))</x:f>
      </x:c>
      <x:c r="V15" s="16" t="n">
        <x:f>EXP(PI()*TAN(RADIANS(Shallow_Input!Y15)))*TAN(PI()/4+RADIANS(Shallow_Input!Y15)/2)^2</x:f>
        <x:v>0.9999999999999998</x:v>
      </x:c>
      <x:c r="W15" s="16" t="n">
        <x:f>IF(ABS(TAN(RADIANS(Shallow_Input!Y15)))&gt;0.0000001,(V15-1)/TAN(RADIANS(Shallow_Input!Y15)),5.14)</x:f>
        <x:v>5.14</x:v>
      </x:c>
      <x:c r="X15" s="16" t="n">
        <x:f>2*(V15+1)*TAN(RADIANS(Shallow_Input!Y15))</x:f>
        <x:v>0</x:v>
      </x:c>
      <x:c r="Y15" s="16" t="e">
        <x:f>IF(B15="S",1,1+R15/S15*V15/MAX(W15,0.000001))</x:f>
      </x:c>
      <x:c r="Z15" s="16" t="e">
        <x:f>IF(B15="S",1,1+R15/S15*TAN(RADIANS(Shallow_Input!Y15)))</x:f>
      </x:c>
      <x:c r="AA15" s="16" t="e">
        <x:f>IF(B15="S",1,1-0.4*R15/S15)</x:f>
      </x:c>
      <x:c r="AB15" s="16" t="e">
        <x:f>1+0.4*IF(F15/MAX(R15,0.000001)&lt;=1,F15/MAX(R15,0.000001),ATAN(F15/MAX(R15,0.000001)))</x:f>
      </x:c>
      <x:c r="AC15" s="16" t="e">
        <x:f>1+2*TAN(RADIANS(Shallow_Input!U15))*(1-SIN(RADIANS(Shallow_Input!U15)))^2*IF(F15/MAX(R15,0.000001)&lt;=1,F15/MAX(R15,0.000001),ATAN(F15/MAX(R15,0.000001)))</x:f>
      </x:c>
      <x:c r="AD15" s="16" t="n">
        <x:f>1</x:f>
        <x:v>1</x:v>
      </x:c>
      <x:c r="AE15" s="16" t="e">
        <x:f>(1-U15/90)^2</x:f>
      </x:c>
      <x:c r="AF15" s="16" t="e">
        <x:f>(1-U15/90)^2</x:f>
      </x:c>
      <x:c r="AG15" s="16" t="n">
        <x:f>IF(Shallow_Input!Y15&gt;0,(1-U15/Shallow_Input!Y15)^2,1)</x:f>
        <x:v>1</x:v>
      </x:c>
      <x:c r="AH15" s="16" t="e">
        <x:f>J15/MAX(G15,0.000001)</x:f>
      </x:c>
      <x:c r="AI15" s="16" t="e">
        <x:f>H15/MAX(L15,0.000001)</x:f>
      </x:c>
      <x:c r="AJ15" s="16" t="e">
        <x:f>IF(K15&gt;=G15,"OK","NG")</x:f>
      </x:c>
      <x:c r="AK15" s="16" t="e">
        <x:f>IF(I15&gt;=L15,"OK","NG")</x:f>
      </x:c>
      <x:c r="AL15" s="16" t="e">
        <x:f>IF(M15&gt;=0,"OK","NG")</x:f>
      </x:c>
      <x:c r="AM15" s="16" t="e">
        <x:f>IF(F15/MAX(R15,0.000001)&lt;=1,"Shallow","Deep")</x:f>
      </x:c>
    </x:row>
    <x:row r="16">
      <x:c r="A16" s="16" t="n">
        <x:f>Shallow_Input!A16</x:f>
        <x:v>0</x:v>
      </x:c>
      <x:c r="B16" s="16" t="n">
        <x:f>Shallow_Input!B16</x:f>
        <x:v>0</x:v>
      </x:c>
      <x:c r="C16" s="16" t="n">
        <x:f>Shallow_Input!C16</x:f>
        <x:v>0</x:v>
      </x:c>
      <x:c r="D16" s="16" t="n">
        <x:f>Shallow_Input!D16</x:f>
        <x:v>0</x:v>
      </x:c>
      <x:c r="E16" s="16" t="e">
        <x:f>IF(B16="S",1,Shallow_Input!E16)</x:f>
      </x:c>
      <x:c r="F16" s="16" t="n">
        <x:f>Shallow_Input!F16</x:f>
        <x:v>0</x:v>
      </x:c>
      <x:c r="G16" s="16" t="e">
        <x:f>LET(B0,D16,L0,E16,D0,F16,t,Shallow_Input!G16,Cx,Shallow_Input!H16,Cy,Shallow_Input!I16,Ox,Shallow_Input!J16,Oy,IF(B16="S",0,Shallow_Input!K16),dw,Shallow_Input!L16,Qc,Shallow_Input!M16,g1u,Shallow_Input!R16,g1sat,Shallow_Input!S16,gc,Shallow_Input!Z16,g1ave,IF(dw&gt;=D0,g1u,IF(dw&lt;=0,g1sat,(g1u*dw+g1sat*(D0-dw))/D0)),g1ave*MAX(B0*L0-Cx*Cy,0)*MAX(D0-t,0)+gc*Cx*Cy*MAX(D0-t,0)+t*B0*L0*gc+Qc)</x:f>
      </x:c>
      <x:c r="H16" s="16" t="e">
        <x:f>LET(shape,B16,B0,D16,L0,E16,D0,F16,dw,Shallow_Input!L16,g1u,Shallow_Input!R16,g1sat,Shallow_Input!S16,gw,Shallow_Input!AA16,g2u,Shallow_Input!V16,g2sat,Shallow_Input!W16,analysis,C16,c2,Shallow_Input!X16,phi1,Shallow_Input!U16,phi2,Shallow_Input!Y16,Bef,R16,Nq,V16,Nc,W16,Ny,X16,Fcs,Y16,Fqs,Z16,Fys,AA16,Fcd,AB16,Fqd,AC16,Fyd,AD16,Fci,AE16,Fqi,AF16,Fyi,AG16,g1ave,IF(dw&gt;=D0,g1u,IF(dw&lt;=0,g1sat,(g1u*dw+g1sat*(D0-dw))/D0)),g1eff,IF(dw&gt;=D0,g1u,IF(dw&lt;=0,g1sat-gw,(g1u*dw+(g1sat-gw)*(D0-dw))/D0)),g2width,IF(shape="S",B0,Bef),g2ave,IF(dw&gt;=D0+g2width,g2u,IF(dw&lt;=D0,g2sat,(g2u*(dw-D0)+g2sat*(g2width-(dw-D0)))/g2width)),g2eff,IF(dw&gt;=D0+g2width,g2u,IF(dw&lt;=D0,g2sat-gw,(g2u*(dw-D0)+(g2sat-gw)*(g2width-(dw-D0)))/g2width)),g1used,IF(analysis="T",g1ave,g1eff),g2used,IF(analysis="T",g2ave,g2eff),q,g1used*D0,c2*Nc*Fcs*Fcd*Fci+q*Nq*Fqs*Fqd*Fqi+0.5*Bef*g2used*Ny*Fys*Fyd*Fyi)</x:f>
      </x:c>
      <x:c r="I16" s="16" t="e">
        <x:f>H16/Shallow_Input!AB16</x:f>
      </x:c>
      <x:c r="J16" s="16" t="e">
        <x:f>H16*T16</x:f>
      </x:c>
      <x:c r="K16" s="16" t="e">
        <x:f>I16*T16</x:f>
      </x:c>
      <x:c r="L16" s="16" t="e">
        <x:f>G16/(D16*E16)*(1+6*N16/D16+6*O16/E16)</x:f>
      </x:c>
      <x:c r="M16" s="16" t="e">
        <x:f>G16/(D16*E16)*(1-6*N16/D16-6*O16/E16)</x:f>
      </x:c>
      <x:c r="N16" s="16" t="e">
        <x:f>ABS((Shallow_Input!Z16*Shallow_Input!H16*Shallow_Input!I16*MAX(Shallow_Input!F16-Shallow_Input!G16,0)+Shallow_Input!M16)*Shallow_Input!J16+Shallow_Input!P16*Shallow_Input!F16+Shallow_Input!O16)/G16</x:f>
      </x:c>
      <x:c r="O16" s="16" t="e">
        <x:f>ABS(((Shallow_Input!Z16*Shallow_Input!H16*Shallow_Input!I16*MAX(Shallow_Input!F16-Shallow_Input!G16,0)+Shallow_Input!M16)*IF(B16="S",0,Shallow_Input!K16)+Shallow_Input!Q16*Shallow_Input!F16+IF(B16="S",0,Shallow_Input!N16))/G16)</x:f>
      </x:c>
      <x:c r="P16" s="16" t="e">
        <x:f>D16-2*N16</x:f>
      </x:c>
      <x:c r="Q16" s="16" t="e">
        <x:f>E16-2*O16</x:f>
      </x:c>
      <x:c r="R16" s="16" t="e">
        <x:f>MAX(P16,0.000001)</x:f>
      </x:c>
      <x:c r="S16" s="16" t="e">
        <x:f>IF(B16="S",1,MAX(Q16,0.000001))</x:f>
      </x:c>
      <x:c r="T16" s="16" t="e">
        <x:f>R16*S16</x:f>
      </x:c>
      <x:c r="U16" s="16" t="e">
        <x:f>DEGREES(ATAN(SQRT(Shallow_Input!P16^2+Shallow_Input!Q16^2)/G16))</x:f>
      </x:c>
      <x:c r="V16" s="16" t="n">
        <x:f>EXP(PI()*TAN(RADIANS(Shallow_Input!Y16)))*TAN(PI()/4+RADIANS(Shallow_Input!Y16)/2)^2</x:f>
        <x:v>0.9999999999999998</x:v>
      </x:c>
      <x:c r="W16" s="16" t="n">
        <x:f>IF(ABS(TAN(RADIANS(Shallow_Input!Y16)))&gt;0.0000001,(V16-1)/TAN(RADIANS(Shallow_Input!Y16)),5.14)</x:f>
        <x:v>5.14</x:v>
      </x:c>
      <x:c r="X16" s="16" t="n">
        <x:f>2*(V16+1)*TAN(RADIANS(Shallow_Input!Y16))</x:f>
        <x:v>0</x:v>
      </x:c>
      <x:c r="Y16" s="16" t="e">
        <x:f>IF(B16="S",1,1+R16/S16*V16/MAX(W16,0.000001))</x:f>
      </x:c>
      <x:c r="Z16" s="16" t="e">
        <x:f>IF(B16="S",1,1+R16/S16*TAN(RADIANS(Shallow_Input!Y16)))</x:f>
      </x:c>
      <x:c r="AA16" s="16" t="e">
        <x:f>IF(B16="S",1,1-0.4*R16/S16)</x:f>
      </x:c>
      <x:c r="AB16" s="16" t="e">
        <x:f>1+0.4*IF(F16/MAX(R16,0.000001)&lt;=1,F16/MAX(R16,0.000001),ATAN(F16/MAX(R16,0.000001)))</x:f>
      </x:c>
      <x:c r="AC16" s="16" t="e">
        <x:f>1+2*TAN(RADIANS(Shallow_Input!U16))*(1-SIN(RADIANS(Shallow_Input!U16)))^2*IF(F16/MAX(R16,0.000001)&lt;=1,F16/MAX(R16,0.000001),ATAN(F16/MAX(R16,0.000001)))</x:f>
      </x:c>
      <x:c r="AD16" s="16" t="n">
        <x:f>1</x:f>
        <x:v>1</x:v>
      </x:c>
      <x:c r="AE16" s="16" t="e">
        <x:f>(1-U16/90)^2</x:f>
      </x:c>
      <x:c r="AF16" s="16" t="e">
        <x:f>(1-U16/90)^2</x:f>
      </x:c>
      <x:c r="AG16" s="16" t="n">
        <x:f>IF(Shallow_Input!Y16&gt;0,(1-U16/Shallow_Input!Y16)^2,1)</x:f>
        <x:v>1</x:v>
      </x:c>
      <x:c r="AH16" s="16" t="e">
        <x:f>J16/MAX(G16,0.000001)</x:f>
      </x:c>
      <x:c r="AI16" s="16" t="e">
        <x:f>H16/MAX(L16,0.000001)</x:f>
      </x:c>
      <x:c r="AJ16" s="16" t="e">
        <x:f>IF(K16&gt;=G16,"OK","NG")</x:f>
      </x:c>
      <x:c r="AK16" s="16" t="e">
        <x:f>IF(I16&gt;=L16,"OK","NG")</x:f>
      </x:c>
      <x:c r="AL16" s="16" t="e">
        <x:f>IF(M16&gt;=0,"OK","NG")</x:f>
      </x:c>
      <x:c r="AM16" s="16" t="e">
        <x:f>IF(F16/MAX(R16,0.000001)&lt;=1,"Shallow","Deep")</x:f>
      </x:c>
    </x:row>
    <x:row r="17">
      <x:c r="A17" s="16" t="n">
        <x:f>Shallow_Input!A17</x:f>
        <x:v>0</x:v>
      </x:c>
      <x:c r="B17" s="16" t="n">
        <x:f>Shallow_Input!B17</x:f>
        <x:v>0</x:v>
      </x:c>
      <x:c r="C17" s="16" t="n">
        <x:f>Shallow_Input!C17</x:f>
        <x:v>0</x:v>
      </x:c>
      <x:c r="D17" s="16" t="n">
        <x:f>Shallow_Input!D17</x:f>
        <x:v>0</x:v>
      </x:c>
      <x:c r="E17" s="16" t="e">
        <x:f>IF(B17="S",1,Shallow_Input!E17)</x:f>
      </x:c>
      <x:c r="F17" s="16" t="n">
        <x:f>Shallow_Input!F17</x:f>
        <x:v>0</x:v>
      </x:c>
      <x:c r="G17" s="16" t="e">
        <x:f>LET(B0,D17,L0,E17,D0,F17,t,Shallow_Input!G17,Cx,Shallow_Input!H17,Cy,Shallow_Input!I17,Ox,Shallow_Input!J17,Oy,IF(B17="S",0,Shallow_Input!K17),dw,Shallow_Input!L17,Qc,Shallow_Input!M17,g1u,Shallow_Input!R17,g1sat,Shallow_Input!S17,gc,Shallow_Input!Z17,g1ave,IF(dw&gt;=D0,g1u,IF(dw&lt;=0,g1sat,(g1u*dw+g1sat*(D0-dw))/D0)),g1ave*MAX(B0*L0-Cx*Cy,0)*MAX(D0-t,0)+gc*Cx*Cy*MAX(D0-t,0)+t*B0*L0*gc+Qc)</x:f>
      </x:c>
      <x:c r="H17" s="16" t="e">
        <x:f>LET(shape,B17,B0,D17,L0,E17,D0,F17,dw,Shallow_Input!L17,g1u,Shallow_Input!R17,g1sat,Shallow_Input!S17,gw,Shallow_Input!AA17,g2u,Shallow_Input!V17,g2sat,Shallow_Input!W17,analysis,C17,c2,Shallow_Input!X17,phi1,Shallow_Input!U17,phi2,Shallow_Input!Y17,Bef,R17,Nq,V17,Nc,W17,Ny,X17,Fcs,Y17,Fqs,Z17,Fys,AA17,Fcd,AB17,Fqd,AC17,Fyd,AD17,Fci,AE17,Fqi,AF17,Fyi,AG17,g1ave,IF(dw&gt;=D0,g1u,IF(dw&lt;=0,g1sat,(g1u*dw+g1sat*(D0-dw))/D0)),g1eff,IF(dw&gt;=D0,g1u,IF(dw&lt;=0,g1sat-gw,(g1u*dw+(g1sat-gw)*(D0-dw))/D0)),g2width,IF(shape="S",B0,Bef),g2ave,IF(dw&gt;=D0+g2width,g2u,IF(dw&lt;=D0,g2sat,(g2u*(dw-D0)+g2sat*(g2width-(dw-D0)))/g2width)),g2eff,IF(dw&gt;=D0+g2width,g2u,IF(dw&lt;=D0,g2sat-gw,(g2u*(dw-D0)+(g2sat-gw)*(g2width-(dw-D0)))/g2width)),g1used,IF(analysis="T",g1ave,g1eff),g2used,IF(analysis="T",g2ave,g2eff),q,g1used*D0,c2*Nc*Fcs*Fcd*Fci+q*Nq*Fqs*Fqd*Fqi+0.5*Bef*g2used*Ny*Fys*Fyd*Fyi)</x:f>
      </x:c>
      <x:c r="I17" s="16" t="e">
        <x:f>H17/Shallow_Input!AB17</x:f>
      </x:c>
      <x:c r="J17" s="16" t="e">
        <x:f>H17*T17</x:f>
      </x:c>
      <x:c r="K17" s="16" t="e">
        <x:f>I17*T17</x:f>
      </x:c>
      <x:c r="L17" s="16" t="e">
        <x:f>G17/(D17*E17)*(1+6*N17/D17+6*O17/E17)</x:f>
      </x:c>
      <x:c r="M17" s="16" t="e">
        <x:f>G17/(D17*E17)*(1-6*N17/D17-6*O17/E17)</x:f>
      </x:c>
      <x:c r="N17" s="16" t="e">
        <x:f>ABS((Shallow_Input!Z17*Shallow_Input!H17*Shallow_Input!I17*MAX(Shallow_Input!F17-Shallow_Input!G17,0)+Shallow_Input!M17)*Shallow_Input!J17+Shallow_Input!P17*Shallow_Input!F17+Shallow_Input!O17)/G17</x:f>
      </x:c>
      <x:c r="O17" s="16" t="e">
        <x:f>ABS(((Shallow_Input!Z17*Shallow_Input!H17*Shallow_Input!I17*MAX(Shallow_Input!F17-Shallow_Input!G17,0)+Shallow_Input!M17)*IF(B17="S",0,Shallow_Input!K17)+Shallow_Input!Q17*Shallow_Input!F17+IF(B17="S",0,Shallow_Input!N17))/G17)</x:f>
      </x:c>
      <x:c r="P17" s="16" t="e">
        <x:f>D17-2*N17</x:f>
      </x:c>
      <x:c r="Q17" s="16" t="e">
        <x:f>E17-2*O17</x:f>
      </x:c>
      <x:c r="R17" s="16" t="e">
        <x:f>MAX(P17,0.000001)</x:f>
      </x:c>
      <x:c r="S17" s="16" t="e">
        <x:f>IF(B17="S",1,MAX(Q17,0.000001))</x:f>
      </x:c>
      <x:c r="T17" s="16" t="e">
        <x:f>R17*S17</x:f>
      </x:c>
      <x:c r="U17" s="16" t="e">
        <x:f>DEGREES(ATAN(SQRT(Shallow_Input!P17^2+Shallow_Input!Q17^2)/G17))</x:f>
      </x:c>
      <x:c r="V17" s="16" t="n">
        <x:f>EXP(PI()*TAN(RADIANS(Shallow_Input!Y17)))*TAN(PI()/4+RADIANS(Shallow_Input!Y17)/2)^2</x:f>
        <x:v>0.9999999999999998</x:v>
      </x:c>
      <x:c r="W17" s="16" t="n">
        <x:f>IF(ABS(TAN(RADIANS(Shallow_Input!Y17)))&gt;0.0000001,(V17-1)/TAN(RADIANS(Shallow_Input!Y17)),5.14)</x:f>
        <x:v>5.14</x:v>
      </x:c>
      <x:c r="X17" s="16" t="n">
        <x:f>2*(V17+1)*TAN(RADIANS(Shallow_Input!Y17))</x:f>
        <x:v>0</x:v>
      </x:c>
      <x:c r="Y17" s="16" t="e">
        <x:f>IF(B17="S",1,1+R17/S17*V17/MAX(W17,0.000001))</x:f>
      </x:c>
      <x:c r="Z17" s="16" t="e">
        <x:f>IF(B17="S",1,1+R17/S17*TAN(RADIANS(Shallow_Input!Y17)))</x:f>
      </x:c>
      <x:c r="AA17" s="16" t="e">
        <x:f>IF(B17="S",1,1-0.4*R17/S17)</x:f>
      </x:c>
      <x:c r="AB17" s="16" t="e">
        <x:f>1+0.4*IF(F17/MAX(R17,0.000001)&lt;=1,F17/MAX(R17,0.000001),ATAN(F17/MAX(R17,0.000001)))</x:f>
      </x:c>
      <x:c r="AC17" s="16" t="e">
        <x:f>1+2*TAN(RADIANS(Shallow_Input!U17))*(1-SIN(RADIANS(Shallow_Input!U17)))^2*IF(F17/MAX(R17,0.000001)&lt;=1,F17/MAX(R17,0.000001),ATAN(F17/MAX(R17,0.000001)))</x:f>
      </x:c>
      <x:c r="AD17" s="16" t="n">
        <x:f>1</x:f>
        <x:v>1</x:v>
      </x:c>
      <x:c r="AE17" s="16" t="e">
        <x:f>(1-U17/90)^2</x:f>
      </x:c>
      <x:c r="AF17" s="16" t="e">
        <x:f>(1-U17/90)^2</x:f>
      </x:c>
      <x:c r="AG17" s="16" t="n">
        <x:f>IF(Shallow_Input!Y17&gt;0,(1-U17/Shallow_Input!Y17)^2,1)</x:f>
        <x:v>1</x:v>
      </x:c>
      <x:c r="AH17" s="16" t="e">
        <x:f>J17/MAX(G17,0.000001)</x:f>
      </x:c>
      <x:c r="AI17" s="16" t="e">
        <x:f>H17/MAX(L17,0.000001)</x:f>
      </x:c>
      <x:c r="AJ17" s="16" t="e">
        <x:f>IF(K17&gt;=G17,"OK","NG")</x:f>
      </x:c>
      <x:c r="AK17" s="16" t="e">
        <x:f>IF(I17&gt;=L17,"OK","NG")</x:f>
      </x:c>
      <x:c r="AL17" s="16" t="e">
        <x:f>IF(M17&gt;=0,"OK","NG")</x:f>
      </x:c>
      <x:c r="AM17" s="16" t="e">
        <x:f>IF(F17/MAX(R17,0.000001)&lt;=1,"Shallow","Deep")</x:f>
      </x:c>
    </x:row>
    <x:row r="18">
      <x:c r="A18" s="16" t="n">
        <x:f>Shallow_Input!A18</x:f>
        <x:v>0</x:v>
      </x:c>
      <x:c r="B18" s="16" t="n">
        <x:f>Shallow_Input!B18</x:f>
        <x:v>0</x:v>
      </x:c>
      <x:c r="C18" s="16" t="n">
        <x:f>Shallow_Input!C18</x:f>
        <x:v>0</x:v>
      </x:c>
      <x:c r="D18" s="16" t="n">
        <x:f>Shallow_Input!D18</x:f>
        <x:v>0</x:v>
      </x:c>
      <x:c r="E18" s="16" t="e">
        <x:f>IF(B18="S",1,Shallow_Input!E18)</x:f>
      </x:c>
      <x:c r="F18" s="16" t="n">
        <x:f>Shallow_Input!F18</x:f>
        <x:v>0</x:v>
      </x:c>
      <x:c r="G18" s="16" t="e">
        <x:f>LET(B0,D18,L0,E18,D0,F18,t,Shallow_Input!G18,Cx,Shallow_Input!H18,Cy,Shallow_Input!I18,Ox,Shallow_Input!J18,Oy,IF(B18="S",0,Shallow_Input!K18),dw,Shallow_Input!L18,Qc,Shallow_Input!M18,g1u,Shallow_Input!R18,g1sat,Shallow_Input!S18,gc,Shallow_Input!Z18,g1ave,IF(dw&gt;=D0,g1u,IF(dw&lt;=0,g1sat,(g1u*dw+g1sat*(D0-dw))/D0)),g1ave*MAX(B0*L0-Cx*Cy,0)*MAX(D0-t,0)+gc*Cx*Cy*MAX(D0-t,0)+t*B0*L0*gc+Qc)</x:f>
      </x:c>
      <x:c r="H18" s="16" t="e">
        <x:f>LET(shape,B18,B0,D18,L0,E18,D0,F18,dw,Shallow_Input!L18,g1u,Shallow_Input!R18,g1sat,Shallow_Input!S18,gw,Shallow_Input!AA18,g2u,Shallow_Input!V18,g2sat,Shallow_Input!W18,analysis,C18,c2,Shallow_Input!X18,phi1,Shallow_Input!U18,phi2,Shallow_Input!Y18,Bef,R18,Nq,V18,Nc,W18,Ny,X18,Fcs,Y18,Fqs,Z18,Fys,AA18,Fcd,AB18,Fqd,AC18,Fyd,AD18,Fci,AE18,Fqi,AF18,Fyi,AG18,g1ave,IF(dw&gt;=D0,g1u,IF(dw&lt;=0,g1sat,(g1u*dw+g1sat*(D0-dw))/D0)),g1eff,IF(dw&gt;=D0,g1u,IF(dw&lt;=0,g1sat-gw,(g1u*dw+(g1sat-gw)*(D0-dw))/D0)),g2width,IF(shape="S",B0,Bef),g2ave,IF(dw&gt;=D0+g2width,g2u,IF(dw&lt;=D0,g2sat,(g2u*(dw-D0)+g2sat*(g2width-(dw-D0)))/g2width)),g2eff,IF(dw&gt;=D0+g2width,g2u,IF(dw&lt;=D0,g2sat-gw,(g2u*(dw-D0)+(g2sat-gw)*(g2width-(dw-D0)))/g2width)),g1used,IF(analysis="T",g1ave,g1eff),g2used,IF(analysis="T",g2ave,g2eff),q,g1used*D0,c2*Nc*Fcs*Fcd*Fci+q*Nq*Fqs*Fqd*Fqi+0.5*Bef*g2used*Ny*Fys*Fyd*Fyi)</x:f>
      </x:c>
      <x:c r="I18" s="16" t="e">
        <x:f>H18/Shallow_Input!AB18</x:f>
      </x:c>
      <x:c r="J18" s="16" t="e">
        <x:f>H18*T18</x:f>
      </x:c>
      <x:c r="K18" s="16" t="e">
        <x:f>I18*T18</x:f>
      </x:c>
      <x:c r="L18" s="16" t="e">
        <x:f>G18/(D18*E18)*(1+6*N18/D18+6*O18/E18)</x:f>
      </x:c>
      <x:c r="M18" s="16" t="e">
        <x:f>G18/(D18*E18)*(1-6*N18/D18-6*O18/E18)</x:f>
      </x:c>
      <x:c r="N18" s="16" t="e">
        <x:f>ABS((Shallow_Input!Z18*Shallow_Input!H18*Shallow_Input!I18*MAX(Shallow_Input!F18-Shallow_Input!G18,0)+Shallow_Input!M18)*Shallow_Input!J18+Shallow_Input!P18*Shallow_Input!F18+Shallow_Input!O18)/G18</x:f>
      </x:c>
      <x:c r="O18" s="16" t="e">
        <x:f>ABS(((Shallow_Input!Z18*Shallow_Input!H18*Shallow_Input!I18*MAX(Shallow_Input!F18-Shallow_Input!G18,0)+Shallow_Input!M18)*IF(B18="S",0,Shallow_Input!K18)+Shallow_Input!Q18*Shallow_Input!F18+IF(B18="S",0,Shallow_Input!N18))/G18)</x:f>
      </x:c>
      <x:c r="P18" s="16" t="e">
        <x:f>D18-2*N18</x:f>
      </x:c>
      <x:c r="Q18" s="16" t="e">
        <x:f>E18-2*O18</x:f>
      </x:c>
      <x:c r="R18" s="16" t="e">
        <x:f>MAX(P18,0.000001)</x:f>
      </x:c>
      <x:c r="S18" s="16" t="e">
        <x:f>IF(B18="S",1,MAX(Q18,0.000001))</x:f>
      </x:c>
      <x:c r="T18" s="16" t="e">
        <x:f>R18*S18</x:f>
      </x:c>
      <x:c r="U18" s="16" t="e">
        <x:f>DEGREES(ATAN(SQRT(Shallow_Input!P18^2+Shallow_Input!Q18^2)/G18))</x:f>
      </x:c>
      <x:c r="V18" s="16" t="n">
        <x:f>EXP(PI()*TAN(RADIANS(Shallow_Input!Y18)))*TAN(PI()/4+RADIANS(Shallow_Input!Y18)/2)^2</x:f>
        <x:v>0.9999999999999998</x:v>
      </x:c>
      <x:c r="W18" s="16" t="n">
        <x:f>IF(ABS(TAN(RADIANS(Shallow_Input!Y18)))&gt;0.0000001,(V18-1)/TAN(RADIANS(Shallow_Input!Y18)),5.14)</x:f>
        <x:v>5.14</x:v>
      </x:c>
      <x:c r="X18" s="16" t="n">
        <x:f>2*(V18+1)*TAN(RADIANS(Shallow_Input!Y18))</x:f>
        <x:v>0</x:v>
      </x:c>
      <x:c r="Y18" s="16" t="e">
        <x:f>IF(B18="S",1,1+R18/S18*V18/MAX(W18,0.000001))</x:f>
      </x:c>
      <x:c r="Z18" s="16" t="e">
        <x:f>IF(B18="S",1,1+R18/S18*TAN(RADIANS(Shallow_Input!Y18)))</x:f>
      </x:c>
      <x:c r="AA18" s="16" t="e">
        <x:f>IF(B18="S",1,1-0.4*R18/S18)</x:f>
      </x:c>
      <x:c r="AB18" s="16" t="e">
        <x:f>1+0.4*IF(F18/MAX(R18,0.000001)&lt;=1,F18/MAX(R18,0.000001),ATAN(F18/MAX(R18,0.000001)))</x:f>
      </x:c>
      <x:c r="AC18" s="16" t="e">
        <x:f>1+2*TAN(RADIANS(Shallow_Input!U18))*(1-SIN(RADIANS(Shallow_Input!U18)))^2*IF(F18/MAX(R18,0.000001)&lt;=1,F18/MAX(R18,0.000001),ATAN(F18/MAX(R18,0.000001)))</x:f>
      </x:c>
      <x:c r="AD18" s="16" t="n">
        <x:f>1</x:f>
        <x:v>1</x:v>
      </x:c>
      <x:c r="AE18" s="16" t="e">
        <x:f>(1-U18/90)^2</x:f>
      </x:c>
      <x:c r="AF18" s="16" t="e">
        <x:f>(1-U18/90)^2</x:f>
      </x:c>
      <x:c r="AG18" s="16" t="n">
        <x:f>IF(Shallow_Input!Y18&gt;0,(1-U18/Shallow_Input!Y18)^2,1)</x:f>
        <x:v>1</x:v>
      </x:c>
      <x:c r="AH18" s="16" t="e">
        <x:f>J18/MAX(G18,0.000001)</x:f>
      </x:c>
      <x:c r="AI18" s="16" t="e">
        <x:f>H18/MAX(L18,0.000001)</x:f>
      </x:c>
      <x:c r="AJ18" s="16" t="e">
        <x:f>IF(K18&gt;=G18,"OK","NG")</x:f>
      </x:c>
      <x:c r="AK18" s="16" t="e">
        <x:f>IF(I18&gt;=L18,"OK","NG")</x:f>
      </x:c>
      <x:c r="AL18" s="16" t="e">
        <x:f>IF(M18&gt;=0,"OK","NG")</x:f>
      </x:c>
      <x:c r="AM18" s="16" t="e">
        <x:f>IF(F18/MAX(R18,0.000001)&lt;=1,"Shallow","Deep")</x:f>
      </x:c>
    </x:row>
    <x:row r="19">
      <x:c r="A19" s="16" t="n">
        <x:f>Shallow_Input!A19</x:f>
        <x:v>0</x:v>
      </x:c>
      <x:c r="B19" s="16" t="n">
        <x:f>Shallow_Input!B19</x:f>
        <x:v>0</x:v>
      </x:c>
      <x:c r="C19" s="16" t="n">
        <x:f>Shallow_Input!C19</x:f>
        <x:v>0</x:v>
      </x:c>
      <x:c r="D19" s="16" t="n">
        <x:f>Shallow_Input!D19</x:f>
        <x:v>0</x:v>
      </x:c>
      <x:c r="E19" s="16" t="e">
        <x:f>IF(B19="S",1,Shallow_Input!E19)</x:f>
      </x:c>
      <x:c r="F19" s="16" t="n">
        <x:f>Shallow_Input!F19</x:f>
        <x:v>0</x:v>
      </x:c>
      <x:c r="G19" s="16" t="e">
        <x:f>LET(B0,D19,L0,E19,D0,F19,t,Shallow_Input!G19,Cx,Shallow_Input!H19,Cy,Shallow_Input!I19,Ox,Shallow_Input!J19,Oy,IF(B19="S",0,Shallow_Input!K19),dw,Shallow_Input!L19,Qc,Shallow_Input!M19,g1u,Shallow_Input!R19,g1sat,Shallow_Input!S19,gc,Shallow_Input!Z19,g1ave,IF(dw&gt;=D0,g1u,IF(dw&lt;=0,g1sat,(g1u*dw+g1sat*(D0-dw))/D0)),g1ave*MAX(B0*L0-Cx*Cy,0)*MAX(D0-t,0)+gc*Cx*Cy*MAX(D0-t,0)+t*B0*L0*gc+Qc)</x:f>
      </x:c>
      <x:c r="H19" s="16" t="e">
        <x:f>LET(shape,B19,B0,D19,L0,E19,D0,F19,dw,Shallow_Input!L19,g1u,Shallow_Input!R19,g1sat,Shallow_Input!S19,gw,Shallow_Input!AA19,g2u,Shallow_Input!V19,g2sat,Shallow_Input!W19,analysis,C19,c2,Shallow_Input!X19,phi1,Shallow_Input!U19,phi2,Shallow_Input!Y19,Bef,R19,Nq,V19,Nc,W19,Ny,X19,Fcs,Y19,Fqs,Z19,Fys,AA19,Fcd,AB19,Fqd,AC19,Fyd,AD19,Fci,AE19,Fqi,AF19,Fyi,AG19,g1ave,IF(dw&gt;=D0,g1u,IF(dw&lt;=0,g1sat,(g1u*dw+g1sat*(D0-dw))/D0)),g1eff,IF(dw&gt;=D0,g1u,IF(dw&lt;=0,g1sat-gw,(g1u*dw+(g1sat-gw)*(D0-dw))/D0)),g2width,IF(shape="S",B0,Bef),g2ave,IF(dw&gt;=D0+g2width,g2u,IF(dw&lt;=D0,g2sat,(g2u*(dw-D0)+g2sat*(g2width-(dw-D0)))/g2width)),g2eff,IF(dw&gt;=D0+g2width,g2u,IF(dw&lt;=D0,g2sat-gw,(g2u*(dw-D0)+(g2sat-gw)*(g2width-(dw-D0)))/g2width)),g1used,IF(analysis="T",g1ave,g1eff),g2used,IF(analysis="T",g2ave,g2eff),q,g1used*D0,c2*Nc*Fcs*Fcd*Fci+q*Nq*Fqs*Fqd*Fqi+0.5*Bef*g2used*Ny*Fys*Fyd*Fyi)</x:f>
      </x:c>
      <x:c r="I19" s="16" t="e">
        <x:f>H19/Shallow_Input!AB19</x:f>
      </x:c>
      <x:c r="J19" s="16" t="e">
        <x:f>H19*T19</x:f>
      </x:c>
      <x:c r="K19" s="16" t="e">
        <x:f>I19*T19</x:f>
      </x:c>
      <x:c r="L19" s="16" t="e">
        <x:f>G19/(D19*E19)*(1+6*N19/D19+6*O19/E19)</x:f>
      </x:c>
      <x:c r="M19" s="16" t="e">
        <x:f>G19/(D19*E19)*(1-6*N19/D19-6*O19/E19)</x:f>
      </x:c>
      <x:c r="N19" s="16" t="e">
        <x:f>ABS((Shallow_Input!Z19*Shallow_Input!H19*Shallow_Input!I19*MAX(Shallow_Input!F19-Shallow_Input!G19,0)+Shallow_Input!M19)*Shallow_Input!J19+Shallow_Input!P19*Shallow_Input!F19+Shallow_Input!O19)/G19</x:f>
      </x:c>
      <x:c r="O19" s="16" t="e">
        <x:f>ABS(((Shallow_Input!Z19*Shallow_Input!H19*Shallow_Input!I19*MAX(Shallow_Input!F19-Shallow_Input!G19,0)+Shallow_Input!M19)*IF(B19="S",0,Shallow_Input!K19)+Shallow_Input!Q19*Shallow_Input!F19+IF(B19="S",0,Shallow_Input!N19))/G19)</x:f>
      </x:c>
      <x:c r="P19" s="16" t="e">
        <x:f>D19-2*N19</x:f>
      </x:c>
      <x:c r="Q19" s="16" t="e">
        <x:f>E19-2*O19</x:f>
      </x:c>
      <x:c r="R19" s="16" t="e">
        <x:f>MAX(P19,0.000001)</x:f>
      </x:c>
      <x:c r="S19" s="16" t="e">
        <x:f>IF(B19="S",1,MAX(Q19,0.000001))</x:f>
      </x:c>
      <x:c r="T19" s="16" t="e">
        <x:f>R19*S19</x:f>
      </x:c>
      <x:c r="U19" s="16" t="e">
        <x:f>DEGREES(ATAN(SQRT(Shallow_Input!P19^2+Shallow_Input!Q19^2)/G19))</x:f>
      </x:c>
      <x:c r="V19" s="16" t="n">
        <x:f>EXP(PI()*TAN(RADIANS(Shallow_Input!Y19)))*TAN(PI()/4+RADIANS(Shallow_Input!Y19)/2)^2</x:f>
        <x:v>0.9999999999999998</x:v>
      </x:c>
      <x:c r="W19" s="16" t="n">
        <x:f>IF(ABS(TAN(RADIANS(Shallow_Input!Y19)))&gt;0.0000001,(V19-1)/TAN(RADIANS(Shallow_Input!Y19)),5.14)</x:f>
        <x:v>5.14</x:v>
      </x:c>
      <x:c r="X19" s="16" t="n">
        <x:f>2*(V19+1)*TAN(RADIANS(Shallow_Input!Y19))</x:f>
        <x:v>0</x:v>
      </x:c>
      <x:c r="Y19" s="16" t="e">
        <x:f>IF(B19="S",1,1+R19/S19*V19/MAX(W19,0.000001))</x:f>
      </x:c>
      <x:c r="Z19" s="16" t="e">
        <x:f>IF(B19="S",1,1+R19/S19*TAN(RADIANS(Shallow_Input!Y19)))</x:f>
      </x:c>
      <x:c r="AA19" s="16" t="e">
        <x:f>IF(B19="S",1,1-0.4*R19/S19)</x:f>
      </x:c>
      <x:c r="AB19" s="16" t="e">
        <x:f>1+0.4*IF(F19/MAX(R19,0.000001)&lt;=1,F19/MAX(R19,0.000001),ATAN(F19/MAX(R19,0.000001)))</x:f>
      </x:c>
      <x:c r="AC19" s="16" t="e">
        <x:f>1+2*TAN(RADIANS(Shallow_Input!U19))*(1-SIN(RADIANS(Shallow_Input!U19)))^2*IF(F19/MAX(R19,0.000001)&lt;=1,F19/MAX(R19,0.000001),ATAN(F19/MAX(R19,0.000001)))</x:f>
      </x:c>
      <x:c r="AD19" s="16" t="n">
        <x:f>1</x:f>
        <x:v>1</x:v>
      </x:c>
      <x:c r="AE19" s="16" t="e">
        <x:f>(1-U19/90)^2</x:f>
      </x:c>
      <x:c r="AF19" s="16" t="e">
        <x:f>(1-U19/90)^2</x:f>
      </x:c>
      <x:c r="AG19" s="16" t="n">
        <x:f>IF(Shallow_Input!Y19&gt;0,(1-U19/Shallow_Input!Y19)^2,1)</x:f>
        <x:v>1</x:v>
      </x:c>
      <x:c r="AH19" s="16" t="e">
        <x:f>J19/MAX(G19,0.000001)</x:f>
      </x:c>
      <x:c r="AI19" s="16" t="e">
        <x:f>H19/MAX(L19,0.000001)</x:f>
      </x:c>
      <x:c r="AJ19" s="16" t="e">
        <x:f>IF(K19&gt;=G19,"OK","NG")</x:f>
      </x:c>
      <x:c r="AK19" s="16" t="e">
        <x:f>IF(I19&gt;=L19,"OK","NG")</x:f>
      </x:c>
      <x:c r="AL19" s="16" t="e">
        <x:f>IF(M19&gt;=0,"OK","NG")</x:f>
      </x:c>
      <x:c r="AM19" s="16" t="e">
        <x:f>IF(F19/MAX(R19,0.000001)&lt;=1,"Shallow","Deep")</x:f>
      </x:c>
    </x:row>
    <x:row r="20">
      <x:c r="A20" s="16" t="n">
        <x:f>Shallow_Input!A20</x:f>
        <x:v>0</x:v>
      </x:c>
      <x:c r="B20" s="16" t="n">
        <x:f>Shallow_Input!B20</x:f>
        <x:v>0</x:v>
      </x:c>
      <x:c r="C20" s="16" t="n">
        <x:f>Shallow_Input!C20</x:f>
        <x:v>0</x:v>
      </x:c>
      <x:c r="D20" s="16" t="n">
        <x:f>Shallow_Input!D20</x:f>
        <x:v>0</x:v>
      </x:c>
      <x:c r="E20" s="16" t="e">
        <x:f>IF(B20="S",1,Shallow_Input!E20)</x:f>
      </x:c>
      <x:c r="F20" s="16" t="n">
        <x:f>Shallow_Input!F20</x:f>
        <x:v>0</x:v>
      </x:c>
      <x:c r="G20" s="16" t="e">
        <x:f>LET(B0,D20,L0,E20,D0,F20,t,Shallow_Input!G20,Cx,Shallow_Input!H20,Cy,Shallow_Input!I20,Ox,Shallow_Input!J20,Oy,IF(B20="S",0,Shallow_Input!K20),dw,Shallow_Input!L20,Qc,Shallow_Input!M20,g1u,Shallow_Input!R20,g1sat,Shallow_Input!S20,gc,Shallow_Input!Z20,g1ave,IF(dw&gt;=D0,g1u,IF(dw&lt;=0,g1sat,(g1u*dw+g1sat*(D0-dw))/D0)),g1ave*MAX(B0*L0-Cx*Cy,0)*MAX(D0-t,0)+gc*Cx*Cy*MAX(D0-t,0)+t*B0*L0*gc+Qc)</x:f>
      </x:c>
      <x:c r="H20" s="16" t="e">
        <x:f>LET(shape,B20,B0,D20,L0,E20,D0,F20,dw,Shallow_Input!L20,g1u,Shallow_Input!R20,g1sat,Shallow_Input!S20,gw,Shallow_Input!AA20,g2u,Shallow_Input!V20,g2sat,Shallow_Input!W20,analysis,C20,c2,Shallow_Input!X20,phi1,Shallow_Input!U20,phi2,Shallow_Input!Y20,Bef,R20,Nq,V20,Nc,W20,Ny,X20,Fcs,Y20,Fqs,Z20,Fys,AA20,Fcd,AB20,Fqd,AC20,Fyd,AD20,Fci,AE20,Fqi,AF20,Fyi,AG20,g1ave,IF(dw&gt;=D0,g1u,IF(dw&lt;=0,g1sat,(g1u*dw+g1sat*(D0-dw))/D0)),g1eff,IF(dw&gt;=D0,g1u,IF(dw&lt;=0,g1sat-gw,(g1u*dw+(g1sat-gw)*(D0-dw))/D0)),g2width,IF(shape="S",B0,Bef),g2ave,IF(dw&gt;=D0+g2width,g2u,IF(dw&lt;=D0,g2sat,(g2u*(dw-D0)+g2sat*(g2width-(dw-D0)))/g2width)),g2eff,IF(dw&gt;=D0+g2width,g2u,IF(dw&lt;=D0,g2sat-gw,(g2u*(dw-D0)+(g2sat-gw)*(g2width-(dw-D0)))/g2width)),g1used,IF(analysis="T",g1ave,g1eff),g2used,IF(analysis="T",g2ave,g2eff),q,g1used*D0,c2*Nc*Fcs*Fcd*Fci+q*Nq*Fqs*Fqd*Fqi+0.5*Bef*g2used*Ny*Fys*Fyd*Fyi)</x:f>
      </x:c>
      <x:c r="I20" s="16" t="e">
        <x:f>H20/Shallow_Input!AB20</x:f>
      </x:c>
      <x:c r="J20" s="16" t="e">
        <x:f>H20*T20</x:f>
      </x:c>
      <x:c r="K20" s="16" t="e">
        <x:f>I20*T20</x:f>
      </x:c>
      <x:c r="L20" s="16" t="e">
        <x:f>G20/(D20*E20)*(1+6*N20/D20+6*O20/E20)</x:f>
      </x:c>
      <x:c r="M20" s="16" t="e">
        <x:f>G20/(D20*E20)*(1-6*N20/D20-6*O20/E20)</x:f>
      </x:c>
      <x:c r="N20" s="16" t="e">
        <x:f>ABS((Shallow_Input!Z20*Shallow_Input!H20*Shallow_Input!I20*MAX(Shallow_Input!F20-Shallow_Input!G20,0)+Shallow_Input!M20)*Shallow_Input!J20+Shallow_Input!P20*Shallow_Input!F20+Shallow_Input!O20)/G20</x:f>
      </x:c>
      <x:c r="O20" s="16" t="e">
        <x:f>ABS(((Shallow_Input!Z20*Shallow_Input!H20*Shallow_Input!I20*MAX(Shallow_Input!F20-Shallow_Input!G20,0)+Shallow_Input!M20)*IF(B20="S",0,Shallow_Input!K20)+Shallow_Input!Q20*Shallow_Input!F20+IF(B20="S",0,Shallow_Input!N20))/G20)</x:f>
      </x:c>
      <x:c r="P20" s="16" t="e">
        <x:f>D20-2*N20</x:f>
      </x:c>
      <x:c r="Q20" s="16" t="e">
        <x:f>E20-2*O20</x:f>
      </x:c>
      <x:c r="R20" s="16" t="e">
        <x:f>MAX(P20,0.000001)</x:f>
      </x:c>
      <x:c r="S20" s="16" t="e">
        <x:f>IF(B20="S",1,MAX(Q20,0.000001))</x:f>
      </x:c>
      <x:c r="T20" s="16" t="e">
        <x:f>R20*S20</x:f>
      </x:c>
      <x:c r="U20" s="16" t="e">
        <x:f>DEGREES(ATAN(SQRT(Shallow_Input!P20^2+Shallow_Input!Q20^2)/G20))</x:f>
      </x:c>
      <x:c r="V20" s="16" t="n">
        <x:f>EXP(PI()*TAN(RADIANS(Shallow_Input!Y20)))*TAN(PI()/4+RADIANS(Shallow_Input!Y20)/2)^2</x:f>
        <x:v>0.9999999999999998</x:v>
      </x:c>
      <x:c r="W20" s="16" t="n">
        <x:f>IF(ABS(TAN(RADIANS(Shallow_Input!Y20)))&gt;0.0000001,(V20-1)/TAN(RADIANS(Shallow_Input!Y20)),5.14)</x:f>
        <x:v>5.14</x:v>
      </x:c>
      <x:c r="X20" s="16" t="n">
        <x:f>2*(V20+1)*TAN(RADIANS(Shallow_Input!Y20))</x:f>
        <x:v>0</x:v>
      </x:c>
      <x:c r="Y20" s="16" t="e">
        <x:f>IF(B20="S",1,1+R20/S20*V20/MAX(W20,0.000001))</x:f>
      </x:c>
      <x:c r="Z20" s="16" t="e">
        <x:f>IF(B20="S",1,1+R20/S20*TAN(RADIANS(Shallow_Input!Y20)))</x:f>
      </x:c>
      <x:c r="AA20" s="16" t="e">
        <x:f>IF(B20="S",1,1-0.4*R20/S20)</x:f>
      </x:c>
      <x:c r="AB20" s="16" t="e">
        <x:f>1+0.4*IF(F20/MAX(R20,0.000001)&lt;=1,F20/MAX(R20,0.000001),ATAN(F20/MAX(R20,0.000001)))</x:f>
      </x:c>
      <x:c r="AC20" s="16" t="e">
        <x:f>1+2*TAN(RADIANS(Shallow_Input!U20))*(1-SIN(RADIANS(Shallow_Input!U20)))^2*IF(F20/MAX(R20,0.000001)&lt;=1,F20/MAX(R20,0.000001),ATAN(F20/MAX(R20,0.000001)))</x:f>
      </x:c>
      <x:c r="AD20" s="16" t="n">
        <x:f>1</x:f>
        <x:v>1</x:v>
      </x:c>
      <x:c r="AE20" s="16" t="e">
        <x:f>(1-U20/90)^2</x:f>
      </x:c>
      <x:c r="AF20" s="16" t="e">
        <x:f>(1-U20/90)^2</x:f>
      </x:c>
      <x:c r="AG20" s="16" t="n">
        <x:f>IF(Shallow_Input!Y20&gt;0,(1-U20/Shallow_Input!Y20)^2,1)</x:f>
        <x:v>1</x:v>
      </x:c>
      <x:c r="AH20" s="16" t="e">
        <x:f>J20/MAX(G20,0.000001)</x:f>
      </x:c>
      <x:c r="AI20" s="16" t="e">
        <x:f>H20/MAX(L20,0.000001)</x:f>
      </x:c>
      <x:c r="AJ20" s="16" t="e">
        <x:f>IF(K20&gt;=G20,"OK","NG")</x:f>
      </x:c>
      <x:c r="AK20" s="16" t="e">
        <x:f>IF(I20&gt;=L20,"OK","NG")</x:f>
      </x:c>
      <x:c r="AL20" s="16" t="e">
        <x:f>IF(M20&gt;=0,"OK","NG")</x:f>
      </x:c>
      <x:c r="AM20" s="16" t="e">
        <x:f>IF(F20/MAX(R20,0.000001)&lt;=1,"Shallow","Deep")</x:f>
      </x:c>
    </x:row>
    <x:row r="21">
      <x:c r="A21" s="16" t="n">
        <x:f>Shallow_Input!A21</x:f>
        <x:v>0</x:v>
      </x:c>
      <x:c r="B21" s="16" t="n">
        <x:f>Shallow_Input!B21</x:f>
        <x:v>0</x:v>
      </x:c>
      <x:c r="C21" s="16" t="n">
        <x:f>Shallow_Input!C21</x:f>
        <x:v>0</x:v>
      </x:c>
      <x:c r="D21" s="16" t="n">
        <x:f>Shallow_Input!D21</x:f>
        <x:v>0</x:v>
      </x:c>
      <x:c r="E21" s="16" t="e">
        <x:f>IF(B21="S",1,Shallow_Input!E21)</x:f>
      </x:c>
      <x:c r="F21" s="16" t="n">
        <x:f>Shallow_Input!F21</x:f>
        <x:v>0</x:v>
      </x:c>
      <x:c r="G21" s="16" t="e">
        <x:f>LET(B0,D21,L0,E21,D0,F21,t,Shallow_Input!G21,Cx,Shallow_Input!H21,Cy,Shallow_Input!I21,Ox,Shallow_Input!J21,Oy,IF(B21="S",0,Shallow_Input!K21),dw,Shallow_Input!L21,Qc,Shallow_Input!M21,g1u,Shallow_Input!R21,g1sat,Shallow_Input!S21,gc,Shallow_Input!Z21,g1ave,IF(dw&gt;=D0,g1u,IF(dw&lt;=0,g1sat,(g1u*dw+g1sat*(D0-dw))/D0)),g1ave*MAX(B0*L0-Cx*Cy,0)*MAX(D0-t,0)+gc*Cx*Cy*MAX(D0-t,0)+t*B0*L0*gc+Qc)</x:f>
      </x:c>
      <x:c r="H21" s="16" t="e">
        <x:f>LET(shape,B21,B0,D21,L0,E21,D0,F21,dw,Shallow_Input!L21,g1u,Shallow_Input!R21,g1sat,Shallow_Input!S21,gw,Shallow_Input!AA21,g2u,Shallow_Input!V21,g2sat,Shallow_Input!W21,analysis,C21,c2,Shallow_Input!X21,phi1,Shallow_Input!U21,phi2,Shallow_Input!Y21,Bef,R21,Nq,V21,Nc,W21,Ny,X21,Fcs,Y21,Fqs,Z21,Fys,AA21,Fcd,AB21,Fqd,AC21,Fyd,AD21,Fci,AE21,Fqi,AF21,Fyi,AG21,g1ave,IF(dw&gt;=D0,g1u,IF(dw&lt;=0,g1sat,(g1u*dw+g1sat*(D0-dw))/D0)),g1eff,IF(dw&gt;=D0,g1u,IF(dw&lt;=0,g1sat-gw,(g1u*dw+(g1sat-gw)*(D0-dw))/D0)),g2width,IF(shape="S",B0,Bef),g2ave,IF(dw&gt;=D0+g2width,g2u,IF(dw&lt;=D0,g2sat,(g2u*(dw-D0)+g2sat*(g2width-(dw-D0)))/g2width)),g2eff,IF(dw&gt;=D0+g2width,g2u,IF(dw&lt;=D0,g2sat-gw,(g2u*(dw-D0)+(g2sat-gw)*(g2width-(dw-D0)))/g2width)),g1used,IF(analysis="T",g1ave,g1eff),g2used,IF(analysis="T",g2ave,g2eff),q,g1used*D0,c2*Nc*Fcs*Fcd*Fci+q*Nq*Fqs*Fqd*Fqi+0.5*Bef*g2used*Ny*Fys*Fyd*Fyi)</x:f>
      </x:c>
      <x:c r="I21" s="16" t="e">
        <x:f>H21/Shallow_Input!AB21</x:f>
      </x:c>
      <x:c r="J21" s="16" t="e">
        <x:f>H21*T21</x:f>
      </x:c>
      <x:c r="K21" s="16" t="e">
        <x:f>I21*T21</x:f>
      </x:c>
      <x:c r="L21" s="16" t="e">
        <x:f>G21/(D21*E21)*(1+6*N21/D21+6*O21/E21)</x:f>
      </x:c>
      <x:c r="M21" s="16" t="e">
        <x:f>G21/(D21*E21)*(1-6*N21/D21-6*O21/E21)</x:f>
      </x:c>
      <x:c r="N21" s="16" t="e">
        <x:f>ABS((Shallow_Input!Z21*Shallow_Input!H21*Shallow_Input!I21*MAX(Shallow_Input!F21-Shallow_Input!G21,0)+Shallow_Input!M21)*Shallow_Input!J21+Shallow_Input!P21*Shallow_Input!F21+Shallow_Input!O21)/G21</x:f>
      </x:c>
      <x:c r="O21" s="16" t="e">
        <x:f>ABS(((Shallow_Input!Z21*Shallow_Input!H21*Shallow_Input!I21*MAX(Shallow_Input!F21-Shallow_Input!G21,0)+Shallow_Input!M21)*IF(B21="S",0,Shallow_Input!K21)+Shallow_Input!Q21*Shallow_Input!F21+IF(B21="S",0,Shallow_Input!N21))/G21)</x:f>
      </x:c>
      <x:c r="P21" s="16" t="e">
        <x:f>D21-2*N21</x:f>
      </x:c>
      <x:c r="Q21" s="16" t="e">
        <x:f>E21-2*O21</x:f>
      </x:c>
      <x:c r="R21" s="16" t="e">
        <x:f>MAX(P21,0.000001)</x:f>
      </x:c>
      <x:c r="S21" s="16" t="e">
        <x:f>IF(B21="S",1,MAX(Q21,0.000001))</x:f>
      </x:c>
      <x:c r="T21" s="16" t="e">
        <x:f>R21*S21</x:f>
      </x:c>
      <x:c r="U21" s="16" t="e">
        <x:f>DEGREES(ATAN(SQRT(Shallow_Input!P21^2+Shallow_Input!Q21^2)/G21))</x:f>
      </x:c>
      <x:c r="V21" s="16" t="n">
        <x:f>EXP(PI()*TAN(RADIANS(Shallow_Input!Y21)))*TAN(PI()/4+RADIANS(Shallow_Input!Y21)/2)^2</x:f>
        <x:v>0.9999999999999998</x:v>
      </x:c>
      <x:c r="W21" s="16" t="n">
        <x:f>IF(ABS(TAN(RADIANS(Shallow_Input!Y21)))&gt;0.0000001,(V21-1)/TAN(RADIANS(Shallow_Input!Y21)),5.14)</x:f>
        <x:v>5.14</x:v>
      </x:c>
      <x:c r="X21" s="16" t="n">
        <x:f>2*(V21+1)*TAN(RADIANS(Shallow_Input!Y21))</x:f>
        <x:v>0</x:v>
      </x:c>
      <x:c r="Y21" s="16" t="e">
        <x:f>IF(B21="S",1,1+R21/S21*V21/MAX(W21,0.000001))</x:f>
      </x:c>
      <x:c r="Z21" s="16" t="e">
        <x:f>IF(B21="S",1,1+R21/S21*TAN(RADIANS(Shallow_Input!Y21)))</x:f>
      </x:c>
      <x:c r="AA21" s="16" t="e">
        <x:f>IF(B21="S",1,1-0.4*R21/S21)</x:f>
      </x:c>
      <x:c r="AB21" s="16" t="e">
        <x:f>1+0.4*IF(F21/MAX(R21,0.000001)&lt;=1,F21/MAX(R21,0.000001),ATAN(F21/MAX(R21,0.000001)))</x:f>
      </x:c>
      <x:c r="AC21" s="16" t="e">
        <x:f>1+2*TAN(RADIANS(Shallow_Input!U21))*(1-SIN(RADIANS(Shallow_Input!U21)))^2*IF(F21/MAX(R21,0.000001)&lt;=1,F21/MAX(R21,0.000001),ATAN(F21/MAX(R21,0.000001)))</x:f>
      </x:c>
      <x:c r="AD21" s="16" t="n">
        <x:f>1</x:f>
        <x:v>1</x:v>
      </x:c>
      <x:c r="AE21" s="16" t="e">
        <x:f>(1-U21/90)^2</x:f>
      </x:c>
      <x:c r="AF21" s="16" t="e">
        <x:f>(1-U21/90)^2</x:f>
      </x:c>
      <x:c r="AG21" s="16" t="n">
        <x:f>IF(Shallow_Input!Y21&gt;0,(1-U21/Shallow_Input!Y21)^2,1)</x:f>
        <x:v>1</x:v>
      </x:c>
      <x:c r="AH21" s="16" t="e">
        <x:f>J21/MAX(G21,0.000001)</x:f>
      </x:c>
      <x:c r="AI21" s="16" t="e">
        <x:f>H21/MAX(L21,0.000001)</x:f>
      </x:c>
      <x:c r="AJ21" s="16" t="e">
        <x:f>IF(K21&gt;=G21,"OK","NG")</x:f>
      </x:c>
      <x:c r="AK21" s="16" t="e">
        <x:f>IF(I21&gt;=L21,"OK","NG")</x:f>
      </x:c>
      <x:c r="AL21" s="16" t="e">
        <x:f>IF(M21&gt;=0,"OK","NG")</x:f>
      </x:c>
      <x:c r="AM21" s="16" t="e">
        <x:f>IF(F21/MAX(R21,0.000001)&lt;=1,"Shallow","Deep")</x:f>
      </x:c>
    </x:row>
    <x:row r="22">
      <x:c r="A22" s="16" t="n">
        <x:f>Shallow_Input!A22</x:f>
        <x:v>0</x:v>
      </x:c>
      <x:c r="B22" s="16" t="n">
        <x:f>Shallow_Input!B22</x:f>
        <x:v>0</x:v>
      </x:c>
      <x:c r="C22" s="16" t="n">
        <x:f>Shallow_Input!C22</x:f>
        <x:v>0</x:v>
      </x:c>
      <x:c r="D22" s="16" t="n">
        <x:f>Shallow_Input!D22</x:f>
        <x:v>0</x:v>
      </x:c>
      <x:c r="E22" s="16" t="e">
        <x:f>IF(B22="S",1,Shallow_Input!E22)</x:f>
      </x:c>
      <x:c r="F22" s="16" t="n">
        <x:f>Shallow_Input!F22</x:f>
        <x:v>0</x:v>
      </x:c>
      <x:c r="G22" s="16" t="e">
        <x:f>LET(B0,D22,L0,E22,D0,F22,t,Shallow_Input!G22,Cx,Shallow_Input!H22,Cy,Shallow_Input!I22,Ox,Shallow_Input!J22,Oy,IF(B22="S",0,Shallow_Input!K22),dw,Shallow_Input!L22,Qc,Shallow_Input!M22,g1u,Shallow_Input!R22,g1sat,Shallow_Input!S22,gc,Shallow_Input!Z22,g1ave,IF(dw&gt;=D0,g1u,IF(dw&lt;=0,g1sat,(g1u*dw+g1sat*(D0-dw))/D0)),g1ave*MAX(B0*L0-Cx*Cy,0)*MAX(D0-t,0)+gc*Cx*Cy*MAX(D0-t,0)+t*B0*L0*gc+Qc)</x:f>
      </x:c>
      <x:c r="H22" s="16" t="e">
        <x:f>LET(shape,B22,B0,D22,L0,E22,D0,F22,dw,Shallow_Input!L22,g1u,Shallow_Input!R22,g1sat,Shallow_Input!S22,gw,Shallow_Input!AA22,g2u,Shallow_Input!V22,g2sat,Shallow_Input!W22,analysis,C22,c2,Shallow_Input!X22,phi1,Shallow_Input!U22,phi2,Shallow_Input!Y22,Bef,R22,Nq,V22,Nc,W22,Ny,X22,Fcs,Y22,Fqs,Z22,Fys,AA22,Fcd,AB22,Fqd,AC22,Fyd,AD22,Fci,AE22,Fqi,AF22,Fyi,AG22,g1ave,IF(dw&gt;=D0,g1u,IF(dw&lt;=0,g1sat,(g1u*dw+g1sat*(D0-dw))/D0)),g1eff,IF(dw&gt;=D0,g1u,IF(dw&lt;=0,g1sat-gw,(g1u*dw+(g1sat-gw)*(D0-dw))/D0)),g2width,IF(shape="S",B0,Bef),g2ave,IF(dw&gt;=D0+g2width,g2u,IF(dw&lt;=D0,g2sat,(g2u*(dw-D0)+g2sat*(g2width-(dw-D0)))/g2width)),g2eff,IF(dw&gt;=D0+g2width,g2u,IF(dw&lt;=D0,g2sat-gw,(g2u*(dw-D0)+(g2sat-gw)*(g2width-(dw-D0)))/g2width)),g1used,IF(analysis="T",g1ave,g1eff),g2used,IF(analysis="T",g2ave,g2eff),q,g1used*D0,c2*Nc*Fcs*Fcd*Fci+q*Nq*Fqs*Fqd*Fqi+0.5*Bef*g2used*Ny*Fys*Fyd*Fyi)</x:f>
      </x:c>
      <x:c r="I22" s="16" t="e">
        <x:f>H22/Shallow_Input!AB22</x:f>
      </x:c>
      <x:c r="J22" s="16" t="e">
        <x:f>H22*T22</x:f>
      </x:c>
      <x:c r="K22" s="16" t="e">
        <x:f>I22*T22</x:f>
      </x:c>
      <x:c r="L22" s="16" t="e">
        <x:f>G22/(D22*E22)*(1+6*N22/D22+6*O22/E22)</x:f>
      </x:c>
      <x:c r="M22" s="16" t="e">
        <x:f>G22/(D22*E22)*(1-6*N22/D22-6*O22/E22)</x:f>
      </x:c>
      <x:c r="N22" s="16" t="e">
        <x:f>ABS((Shallow_Input!Z22*Shallow_Input!H22*Shallow_Input!I22*MAX(Shallow_Input!F22-Shallow_Input!G22,0)+Shallow_Input!M22)*Shallow_Input!J22+Shallow_Input!P22*Shallow_Input!F22+Shallow_Input!O22)/G22</x:f>
      </x:c>
      <x:c r="O22" s="16" t="e">
        <x:f>ABS(((Shallow_Input!Z22*Shallow_Input!H22*Shallow_Input!I22*MAX(Shallow_Input!F22-Shallow_Input!G22,0)+Shallow_Input!M22)*IF(B22="S",0,Shallow_Input!K22)+Shallow_Input!Q22*Shallow_Input!F22+IF(B22="S",0,Shallow_Input!N22))/G22)</x:f>
      </x:c>
      <x:c r="P22" s="16" t="e">
        <x:f>D22-2*N22</x:f>
      </x:c>
      <x:c r="Q22" s="16" t="e">
        <x:f>E22-2*O22</x:f>
      </x:c>
      <x:c r="R22" s="16" t="e">
        <x:f>MAX(P22,0.000001)</x:f>
      </x:c>
      <x:c r="S22" s="16" t="e">
        <x:f>IF(B22="S",1,MAX(Q22,0.000001))</x:f>
      </x:c>
      <x:c r="T22" s="16" t="e">
        <x:f>R22*S22</x:f>
      </x:c>
      <x:c r="U22" s="16" t="e">
        <x:f>DEGREES(ATAN(SQRT(Shallow_Input!P22^2+Shallow_Input!Q22^2)/G22))</x:f>
      </x:c>
      <x:c r="V22" s="16" t="n">
        <x:f>EXP(PI()*TAN(RADIANS(Shallow_Input!Y22)))*TAN(PI()/4+RADIANS(Shallow_Input!Y22)/2)^2</x:f>
        <x:v>0.9999999999999998</x:v>
      </x:c>
      <x:c r="W22" s="16" t="n">
        <x:f>IF(ABS(TAN(RADIANS(Shallow_Input!Y22)))&gt;0.0000001,(V22-1)/TAN(RADIANS(Shallow_Input!Y22)),5.14)</x:f>
        <x:v>5.14</x:v>
      </x:c>
      <x:c r="X22" s="16" t="n">
        <x:f>2*(V22+1)*TAN(RADIANS(Shallow_Input!Y22))</x:f>
        <x:v>0</x:v>
      </x:c>
      <x:c r="Y22" s="16" t="e">
        <x:f>IF(B22="S",1,1+R22/S22*V22/MAX(W22,0.000001))</x:f>
      </x:c>
      <x:c r="Z22" s="16" t="e">
        <x:f>IF(B22="S",1,1+R22/S22*TAN(RADIANS(Shallow_Input!Y22)))</x:f>
      </x:c>
      <x:c r="AA22" s="16" t="e">
        <x:f>IF(B22="S",1,1-0.4*R22/S22)</x:f>
      </x:c>
      <x:c r="AB22" s="16" t="e">
        <x:f>1+0.4*IF(F22/MAX(R22,0.000001)&lt;=1,F22/MAX(R22,0.000001),ATAN(F22/MAX(R22,0.000001)))</x:f>
      </x:c>
      <x:c r="AC22" s="16" t="e">
        <x:f>1+2*TAN(RADIANS(Shallow_Input!U22))*(1-SIN(RADIANS(Shallow_Input!U22)))^2*IF(F22/MAX(R22,0.000001)&lt;=1,F22/MAX(R22,0.000001),ATAN(F22/MAX(R22,0.000001)))</x:f>
      </x:c>
      <x:c r="AD22" s="16" t="n">
        <x:f>1</x:f>
        <x:v>1</x:v>
      </x:c>
      <x:c r="AE22" s="16" t="e">
        <x:f>(1-U22/90)^2</x:f>
      </x:c>
      <x:c r="AF22" s="16" t="e">
        <x:f>(1-U22/90)^2</x:f>
      </x:c>
      <x:c r="AG22" s="16" t="n">
        <x:f>IF(Shallow_Input!Y22&gt;0,(1-U22/Shallow_Input!Y22)^2,1)</x:f>
        <x:v>1</x:v>
      </x:c>
      <x:c r="AH22" s="16" t="e">
        <x:f>J22/MAX(G22,0.000001)</x:f>
      </x:c>
      <x:c r="AI22" s="16" t="e">
        <x:f>H22/MAX(L22,0.000001)</x:f>
      </x:c>
      <x:c r="AJ22" s="16" t="e">
        <x:f>IF(K22&gt;=G22,"OK","NG")</x:f>
      </x:c>
      <x:c r="AK22" s="16" t="e">
        <x:f>IF(I22&gt;=L22,"OK","NG")</x:f>
      </x:c>
      <x:c r="AL22" s="16" t="e">
        <x:f>IF(M22&gt;=0,"OK","NG")</x:f>
      </x:c>
      <x:c r="AM22" s="16" t="e">
        <x:f>IF(F22/MAX(R22,0.000001)&lt;=1,"Shallow","Deep")</x:f>
      </x:c>
    </x:row>
    <x:row r="23">
      <x:c r="A23" s="16" t="n">
        <x:f>Shallow_Input!A23</x:f>
        <x:v>0</x:v>
      </x:c>
      <x:c r="B23" s="16" t="n">
        <x:f>Shallow_Input!B23</x:f>
        <x:v>0</x:v>
      </x:c>
      <x:c r="C23" s="16" t="n">
        <x:f>Shallow_Input!C23</x:f>
        <x:v>0</x:v>
      </x:c>
      <x:c r="D23" s="16" t="n">
        <x:f>Shallow_Input!D23</x:f>
        <x:v>0</x:v>
      </x:c>
      <x:c r="E23" s="16" t="e">
        <x:f>IF(B23="S",1,Shallow_Input!E23)</x:f>
      </x:c>
      <x:c r="F23" s="16" t="n">
        <x:f>Shallow_Input!F23</x:f>
        <x:v>0</x:v>
      </x:c>
      <x:c r="G23" s="16" t="e">
        <x:f>LET(B0,D23,L0,E23,D0,F23,t,Shallow_Input!G23,Cx,Shallow_Input!H23,Cy,Shallow_Input!I23,Ox,Shallow_Input!J23,Oy,IF(B23="S",0,Shallow_Input!K23),dw,Shallow_Input!L23,Qc,Shallow_Input!M23,g1u,Shallow_Input!R23,g1sat,Shallow_Input!S23,gc,Shallow_Input!Z23,g1ave,IF(dw&gt;=D0,g1u,IF(dw&lt;=0,g1sat,(g1u*dw+g1sat*(D0-dw))/D0)),g1ave*MAX(B0*L0-Cx*Cy,0)*MAX(D0-t,0)+gc*Cx*Cy*MAX(D0-t,0)+t*B0*L0*gc+Qc)</x:f>
      </x:c>
      <x:c r="H23" s="16" t="e">
        <x:f>LET(shape,B23,B0,D23,L0,E23,D0,F23,dw,Shallow_Input!L23,g1u,Shallow_Input!R23,g1sat,Shallow_Input!S23,gw,Shallow_Input!AA23,g2u,Shallow_Input!V23,g2sat,Shallow_Input!W23,analysis,C23,c2,Shallow_Input!X23,phi1,Shallow_Input!U23,phi2,Shallow_Input!Y23,Bef,R23,Nq,V23,Nc,W23,Ny,X23,Fcs,Y23,Fqs,Z23,Fys,AA23,Fcd,AB23,Fqd,AC23,Fyd,AD23,Fci,AE23,Fqi,AF23,Fyi,AG23,g1ave,IF(dw&gt;=D0,g1u,IF(dw&lt;=0,g1sat,(g1u*dw+g1sat*(D0-dw))/D0)),g1eff,IF(dw&gt;=D0,g1u,IF(dw&lt;=0,g1sat-gw,(g1u*dw+(g1sat-gw)*(D0-dw))/D0)),g2width,IF(shape="S",B0,Bef),g2ave,IF(dw&gt;=D0+g2width,g2u,IF(dw&lt;=D0,g2sat,(g2u*(dw-D0)+g2sat*(g2width-(dw-D0)))/g2width)),g2eff,IF(dw&gt;=D0+g2width,g2u,IF(dw&lt;=D0,g2sat-gw,(g2u*(dw-D0)+(g2sat-gw)*(g2width-(dw-D0)))/g2width)),g1used,IF(analysis="T",g1ave,g1eff),g2used,IF(analysis="T",g2ave,g2eff),q,g1used*D0,c2*Nc*Fcs*Fcd*Fci+q*Nq*Fqs*Fqd*Fqi+0.5*Bef*g2used*Ny*Fys*Fyd*Fyi)</x:f>
      </x:c>
      <x:c r="I23" s="16" t="e">
        <x:f>H23/Shallow_Input!AB23</x:f>
      </x:c>
      <x:c r="J23" s="16" t="e">
        <x:f>H23*T23</x:f>
      </x:c>
      <x:c r="K23" s="16" t="e">
        <x:f>I23*T23</x:f>
      </x:c>
      <x:c r="L23" s="16" t="e">
        <x:f>G23/(D23*E23)*(1+6*N23/D23+6*O23/E23)</x:f>
      </x:c>
      <x:c r="M23" s="16" t="e">
        <x:f>G23/(D23*E23)*(1-6*N23/D23-6*O23/E23)</x:f>
      </x:c>
      <x:c r="N23" s="16" t="e">
        <x:f>ABS((Shallow_Input!Z23*Shallow_Input!H23*Shallow_Input!I23*MAX(Shallow_Input!F23-Shallow_Input!G23,0)+Shallow_Input!M23)*Shallow_Input!J23+Shallow_Input!P23*Shallow_Input!F23+Shallow_Input!O23)/G23</x:f>
      </x:c>
      <x:c r="O23" s="16" t="e">
        <x:f>ABS(((Shallow_Input!Z23*Shallow_Input!H23*Shallow_Input!I23*MAX(Shallow_Input!F23-Shallow_Input!G23,0)+Shallow_Input!M23)*IF(B23="S",0,Shallow_Input!K23)+Shallow_Input!Q23*Shallow_Input!F23+IF(B23="S",0,Shallow_Input!N23))/G23)</x:f>
      </x:c>
      <x:c r="P23" s="16" t="e">
        <x:f>D23-2*N23</x:f>
      </x:c>
      <x:c r="Q23" s="16" t="e">
        <x:f>E23-2*O23</x:f>
      </x:c>
      <x:c r="R23" s="16" t="e">
        <x:f>MAX(P23,0.000001)</x:f>
      </x:c>
      <x:c r="S23" s="16" t="e">
        <x:f>IF(B23="S",1,MAX(Q23,0.000001))</x:f>
      </x:c>
      <x:c r="T23" s="16" t="e">
        <x:f>R23*S23</x:f>
      </x:c>
      <x:c r="U23" s="16" t="e">
        <x:f>DEGREES(ATAN(SQRT(Shallow_Input!P23^2+Shallow_Input!Q23^2)/G23))</x:f>
      </x:c>
      <x:c r="V23" s="16" t="n">
        <x:f>EXP(PI()*TAN(RADIANS(Shallow_Input!Y23)))*TAN(PI()/4+RADIANS(Shallow_Input!Y23)/2)^2</x:f>
        <x:v>0.9999999999999998</x:v>
      </x:c>
      <x:c r="W23" s="16" t="n">
        <x:f>IF(ABS(TAN(RADIANS(Shallow_Input!Y23)))&gt;0.0000001,(V23-1)/TAN(RADIANS(Shallow_Input!Y23)),5.14)</x:f>
        <x:v>5.14</x:v>
      </x:c>
      <x:c r="X23" s="16" t="n">
        <x:f>2*(V23+1)*TAN(RADIANS(Shallow_Input!Y23))</x:f>
        <x:v>0</x:v>
      </x:c>
      <x:c r="Y23" s="16" t="e">
        <x:f>IF(B23="S",1,1+R23/S23*V23/MAX(W23,0.000001))</x:f>
      </x:c>
      <x:c r="Z23" s="16" t="e">
        <x:f>IF(B23="S",1,1+R23/S23*TAN(RADIANS(Shallow_Input!Y23)))</x:f>
      </x:c>
      <x:c r="AA23" s="16" t="e">
        <x:f>IF(B23="S",1,1-0.4*R23/S23)</x:f>
      </x:c>
      <x:c r="AB23" s="16" t="e">
        <x:f>1+0.4*IF(F23/MAX(R23,0.000001)&lt;=1,F23/MAX(R23,0.000001),ATAN(F23/MAX(R23,0.000001)))</x:f>
      </x:c>
      <x:c r="AC23" s="16" t="e">
        <x:f>1+2*TAN(RADIANS(Shallow_Input!U23))*(1-SIN(RADIANS(Shallow_Input!U23)))^2*IF(F23/MAX(R23,0.000001)&lt;=1,F23/MAX(R23,0.000001),ATAN(F23/MAX(R23,0.000001)))</x:f>
      </x:c>
      <x:c r="AD23" s="16" t="n">
        <x:f>1</x:f>
        <x:v>1</x:v>
      </x:c>
      <x:c r="AE23" s="16" t="e">
        <x:f>(1-U23/90)^2</x:f>
      </x:c>
      <x:c r="AF23" s="16" t="e">
        <x:f>(1-U23/90)^2</x:f>
      </x:c>
      <x:c r="AG23" s="16" t="n">
        <x:f>IF(Shallow_Input!Y23&gt;0,(1-U23/Shallow_Input!Y23)^2,1)</x:f>
        <x:v>1</x:v>
      </x:c>
      <x:c r="AH23" s="16" t="e">
        <x:f>J23/MAX(G23,0.000001)</x:f>
      </x:c>
      <x:c r="AI23" s="16" t="e">
        <x:f>H23/MAX(L23,0.000001)</x:f>
      </x:c>
      <x:c r="AJ23" s="16" t="e">
        <x:f>IF(K23&gt;=G23,"OK","NG")</x:f>
      </x:c>
      <x:c r="AK23" s="16" t="e">
        <x:f>IF(I23&gt;=L23,"OK","NG")</x:f>
      </x:c>
      <x:c r="AL23" s="16" t="e">
        <x:f>IF(M23&gt;=0,"OK","NG")</x:f>
      </x:c>
      <x:c r="AM23" s="16" t="e">
        <x:f>IF(F23/MAX(R23,0.000001)&lt;=1,"Shallow","Deep")</x:f>
      </x:c>
    </x:row>
    <x:row r="24">
      <x:c r="A24" s="16" t="n">
        <x:f>Shallow_Input!A24</x:f>
        <x:v>0</x:v>
      </x:c>
      <x:c r="B24" s="16" t="n">
        <x:f>Shallow_Input!B24</x:f>
        <x:v>0</x:v>
      </x:c>
      <x:c r="C24" s="16" t="n">
        <x:f>Shallow_Input!C24</x:f>
        <x:v>0</x:v>
      </x:c>
      <x:c r="D24" s="16" t="n">
        <x:f>Shallow_Input!D24</x:f>
        <x:v>0</x:v>
      </x:c>
      <x:c r="E24" s="16" t="e">
        <x:f>IF(B24="S",1,Shallow_Input!E24)</x:f>
      </x:c>
      <x:c r="F24" s="16" t="n">
        <x:f>Shallow_Input!F24</x:f>
        <x:v>0</x:v>
      </x:c>
      <x:c r="G24" s="16" t="e">
        <x:f>LET(B0,D24,L0,E24,D0,F24,t,Shallow_Input!G24,Cx,Shallow_Input!H24,Cy,Shallow_Input!I24,Ox,Shallow_Input!J24,Oy,IF(B24="S",0,Shallow_Input!K24),dw,Shallow_Input!L24,Qc,Shallow_Input!M24,g1u,Shallow_Input!R24,g1sat,Shallow_Input!S24,gc,Shallow_Input!Z24,g1ave,IF(dw&gt;=D0,g1u,IF(dw&lt;=0,g1sat,(g1u*dw+g1sat*(D0-dw))/D0)),g1ave*MAX(B0*L0-Cx*Cy,0)*MAX(D0-t,0)+gc*Cx*Cy*MAX(D0-t,0)+t*B0*L0*gc+Qc)</x:f>
      </x:c>
      <x:c r="H24" s="16" t="e">
        <x:f>LET(shape,B24,B0,D24,L0,E24,D0,F24,dw,Shallow_Input!L24,g1u,Shallow_Input!R24,g1sat,Shallow_Input!S24,gw,Shallow_Input!AA24,g2u,Shallow_Input!V24,g2sat,Shallow_Input!W24,analysis,C24,c2,Shallow_Input!X24,phi1,Shallow_Input!U24,phi2,Shallow_Input!Y24,Bef,R24,Nq,V24,Nc,W24,Ny,X24,Fcs,Y24,Fqs,Z24,Fys,AA24,Fcd,AB24,Fqd,AC24,Fyd,AD24,Fci,AE24,Fqi,AF24,Fyi,AG24,g1ave,IF(dw&gt;=D0,g1u,IF(dw&lt;=0,g1sat,(g1u*dw+g1sat*(D0-dw))/D0)),g1eff,IF(dw&gt;=D0,g1u,IF(dw&lt;=0,g1sat-gw,(g1u*dw+(g1sat-gw)*(D0-dw))/D0)),g2width,IF(shape="S",B0,Bef),g2ave,IF(dw&gt;=D0+g2width,g2u,IF(dw&lt;=D0,g2sat,(g2u*(dw-D0)+g2sat*(g2width-(dw-D0)))/g2width)),g2eff,IF(dw&gt;=D0+g2width,g2u,IF(dw&lt;=D0,g2sat-gw,(g2u*(dw-D0)+(g2sat-gw)*(g2width-(dw-D0)))/g2width)),g1used,IF(analysis="T",g1ave,g1eff),g2used,IF(analysis="T",g2ave,g2eff),q,g1used*D0,c2*Nc*Fcs*Fcd*Fci+q*Nq*Fqs*Fqd*Fqi+0.5*Bef*g2used*Ny*Fys*Fyd*Fyi)</x:f>
      </x:c>
      <x:c r="I24" s="16" t="e">
        <x:f>H24/Shallow_Input!AB24</x:f>
      </x:c>
      <x:c r="J24" s="16" t="e">
        <x:f>H24*T24</x:f>
      </x:c>
      <x:c r="K24" s="16" t="e">
        <x:f>I24*T24</x:f>
      </x:c>
      <x:c r="L24" s="16" t="e">
        <x:f>G24/(D24*E24)*(1+6*N24/D24+6*O24/E24)</x:f>
      </x:c>
      <x:c r="M24" s="16" t="e">
        <x:f>G24/(D24*E24)*(1-6*N24/D24-6*O24/E24)</x:f>
      </x:c>
      <x:c r="N24" s="16" t="e">
        <x:f>ABS((Shallow_Input!Z24*Shallow_Input!H24*Shallow_Input!I24*MAX(Shallow_Input!F24-Shallow_Input!G24,0)+Shallow_Input!M24)*Shallow_Input!J24+Shallow_Input!P24*Shallow_Input!F24+Shallow_Input!O24)/G24</x:f>
      </x:c>
      <x:c r="O24" s="16" t="e">
        <x:f>ABS(((Shallow_Input!Z24*Shallow_Input!H24*Shallow_Input!I24*MAX(Shallow_Input!F24-Shallow_Input!G24,0)+Shallow_Input!M24)*IF(B24="S",0,Shallow_Input!K24)+Shallow_Input!Q24*Shallow_Input!F24+IF(B24="S",0,Shallow_Input!N24))/G24)</x:f>
      </x:c>
      <x:c r="P24" s="16" t="e">
        <x:f>D24-2*N24</x:f>
      </x:c>
      <x:c r="Q24" s="16" t="e">
        <x:f>E24-2*O24</x:f>
      </x:c>
      <x:c r="R24" s="16" t="e">
        <x:f>MAX(P24,0.000001)</x:f>
      </x:c>
      <x:c r="S24" s="16" t="e">
        <x:f>IF(B24="S",1,MAX(Q24,0.000001))</x:f>
      </x:c>
      <x:c r="T24" s="16" t="e">
        <x:f>R24*S24</x:f>
      </x:c>
      <x:c r="U24" s="16" t="e">
        <x:f>DEGREES(ATAN(SQRT(Shallow_Input!P24^2+Shallow_Input!Q24^2)/G24))</x:f>
      </x:c>
      <x:c r="V24" s="16" t="n">
        <x:f>EXP(PI()*TAN(RADIANS(Shallow_Input!Y24)))*TAN(PI()/4+RADIANS(Shallow_Input!Y24)/2)^2</x:f>
        <x:v>0.9999999999999998</x:v>
      </x:c>
      <x:c r="W24" s="16" t="n">
        <x:f>IF(ABS(TAN(RADIANS(Shallow_Input!Y24)))&gt;0.0000001,(V24-1)/TAN(RADIANS(Shallow_Input!Y24)),5.14)</x:f>
        <x:v>5.14</x:v>
      </x:c>
      <x:c r="X24" s="16" t="n">
        <x:f>2*(V24+1)*TAN(RADIANS(Shallow_Input!Y24))</x:f>
        <x:v>0</x:v>
      </x:c>
      <x:c r="Y24" s="16" t="e">
        <x:f>IF(B24="S",1,1+R24/S24*V24/MAX(W24,0.000001))</x:f>
      </x:c>
      <x:c r="Z24" s="16" t="e">
        <x:f>IF(B24="S",1,1+R24/S24*TAN(RADIANS(Shallow_Input!Y24)))</x:f>
      </x:c>
      <x:c r="AA24" s="16" t="e">
        <x:f>IF(B24="S",1,1-0.4*R24/S24)</x:f>
      </x:c>
      <x:c r="AB24" s="16" t="e">
        <x:f>1+0.4*IF(F24/MAX(R24,0.000001)&lt;=1,F24/MAX(R24,0.000001),ATAN(F24/MAX(R24,0.000001)))</x:f>
      </x:c>
      <x:c r="AC24" s="16" t="e">
        <x:f>1+2*TAN(RADIANS(Shallow_Input!U24))*(1-SIN(RADIANS(Shallow_Input!U24)))^2*IF(F24/MAX(R24,0.000001)&lt;=1,F24/MAX(R24,0.000001),ATAN(F24/MAX(R24,0.000001)))</x:f>
      </x:c>
      <x:c r="AD24" s="16" t="n">
        <x:f>1</x:f>
        <x:v>1</x:v>
      </x:c>
      <x:c r="AE24" s="16" t="e">
        <x:f>(1-U24/90)^2</x:f>
      </x:c>
      <x:c r="AF24" s="16" t="e">
        <x:f>(1-U24/90)^2</x:f>
      </x:c>
      <x:c r="AG24" s="16" t="n">
        <x:f>IF(Shallow_Input!Y24&gt;0,(1-U24/Shallow_Input!Y24)^2,1)</x:f>
        <x:v>1</x:v>
      </x:c>
      <x:c r="AH24" s="16" t="e">
        <x:f>J24/MAX(G24,0.000001)</x:f>
      </x:c>
      <x:c r="AI24" s="16" t="e">
        <x:f>H24/MAX(L24,0.000001)</x:f>
      </x:c>
      <x:c r="AJ24" s="16" t="e">
        <x:f>IF(K24&gt;=G24,"OK","NG")</x:f>
      </x:c>
      <x:c r="AK24" s="16" t="e">
        <x:f>IF(I24&gt;=L24,"OK","NG")</x:f>
      </x:c>
      <x:c r="AL24" s="16" t="e">
        <x:f>IF(M24&gt;=0,"OK","NG")</x:f>
      </x:c>
      <x:c r="AM24" s="16" t="e">
        <x:f>IF(F24/MAX(R24,0.000001)&lt;=1,"Shallow","Deep")</x:f>
      </x:c>
    </x:row>
    <x:row r="25">
      <x:c r="A25" s="16" t="n">
        <x:f>Shallow_Input!A25</x:f>
        <x:v>0</x:v>
      </x:c>
      <x:c r="B25" s="16" t="n">
        <x:f>Shallow_Input!B25</x:f>
        <x:v>0</x:v>
      </x:c>
      <x:c r="C25" s="16" t="n">
        <x:f>Shallow_Input!C25</x:f>
        <x:v>0</x:v>
      </x:c>
      <x:c r="D25" s="16" t="n">
        <x:f>Shallow_Input!D25</x:f>
        <x:v>0</x:v>
      </x:c>
      <x:c r="E25" s="16" t="e">
        <x:f>IF(B25="S",1,Shallow_Input!E25)</x:f>
      </x:c>
      <x:c r="F25" s="16" t="n">
        <x:f>Shallow_Input!F25</x:f>
        <x:v>0</x:v>
      </x:c>
      <x:c r="G25" s="16" t="e">
        <x:f>LET(B0,D25,L0,E25,D0,F25,t,Shallow_Input!G25,Cx,Shallow_Input!H25,Cy,Shallow_Input!I25,Ox,Shallow_Input!J25,Oy,IF(B25="S",0,Shallow_Input!K25),dw,Shallow_Input!L25,Qc,Shallow_Input!M25,g1u,Shallow_Input!R25,g1sat,Shallow_Input!S25,gc,Shallow_Input!Z25,g1ave,IF(dw&gt;=D0,g1u,IF(dw&lt;=0,g1sat,(g1u*dw+g1sat*(D0-dw))/D0)),g1ave*MAX(B0*L0-Cx*Cy,0)*MAX(D0-t,0)+gc*Cx*Cy*MAX(D0-t,0)+t*B0*L0*gc+Qc)</x:f>
      </x:c>
      <x:c r="H25" s="16" t="e">
        <x:f>LET(shape,B25,B0,D25,L0,E25,D0,F25,dw,Shallow_Input!L25,g1u,Shallow_Input!R25,g1sat,Shallow_Input!S25,gw,Shallow_Input!AA25,g2u,Shallow_Input!V25,g2sat,Shallow_Input!W25,analysis,C25,c2,Shallow_Input!X25,phi1,Shallow_Input!U25,phi2,Shallow_Input!Y25,Bef,R25,Nq,V25,Nc,W25,Ny,X25,Fcs,Y25,Fqs,Z25,Fys,AA25,Fcd,AB25,Fqd,AC25,Fyd,AD25,Fci,AE25,Fqi,AF25,Fyi,AG25,g1ave,IF(dw&gt;=D0,g1u,IF(dw&lt;=0,g1sat,(g1u*dw+g1sat*(D0-dw))/D0)),g1eff,IF(dw&gt;=D0,g1u,IF(dw&lt;=0,g1sat-gw,(g1u*dw+(g1sat-gw)*(D0-dw))/D0)),g2width,IF(shape="S",B0,Bef),g2ave,IF(dw&gt;=D0+g2width,g2u,IF(dw&lt;=D0,g2sat,(g2u*(dw-D0)+g2sat*(g2width-(dw-D0)))/g2width)),g2eff,IF(dw&gt;=D0+g2width,g2u,IF(dw&lt;=D0,g2sat-gw,(g2u*(dw-D0)+(g2sat-gw)*(g2width-(dw-D0)))/g2width)),g1used,IF(analysis="T",g1ave,g1eff),g2used,IF(analysis="T",g2ave,g2eff),q,g1used*D0,c2*Nc*Fcs*Fcd*Fci+q*Nq*Fqs*Fqd*Fqi+0.5*Bef*g2used*Ny*Fys*Fyd*Fyi)</x:f>
      </x:c>
      <x:c r="I25" s="16" t="e">
        <x:f>H25/Shallow_Input!AB25</x:f>
      </x:c>
      <x:c r="J25" s="16" t="e">
        <x:f>H25*T25</x:f>
      </x:c>
      <x:c r="K25" s="16" t="e">
        <x:f>I25*T25</x:f>
      </x:c>
      <x:c r="L25" s="16" t="e">
        <x:f>G25/(D25*E25)*(1+6*N25/D25+6*O25/E25)</x:f>
      </x:c>
      <x:c r="M25" s="16" t="e">
        <x:f>G25/(D25*E25)*(1-6*N25/D25-6*O25/E25)</x:f>
      </x:c>
      <x:c r="N25" s="16" t="e">
        <x:f>ABS((Shallow_Input!Z25*Shallow_Input!H25*Shallow_Input!I25*MAX(Shallow_Input!F25-Shallow_Input!G25,0)+Shallow_Input!M25)*Shallow_Input!J25+Shallow_Input!P25*Shallow_Input!F25+Shallow_Input!O25)/G25</x:f>
      </x:c>
      <x:c r="O25" s="16" t="e">
        <x:f>ABS(((Shallow_Input!Z25*Shallow_Input!H25*Shallow_Input!I25*MAX(Shallow_Input!F25-Shallow_Input!G25,0)+Shallow_Input!M25)*IF(B25="S",0,Shallow_Input!K25)+Shallow_Input!Q25*Shallow_Input!F25+IF(B25="S",0,Shallow_Input!N25))/G25)</x:f>
      </x:c>
      <x:c r="P25" s="16" t="e">
        <x:f>D25-2*N25</x:f>
      </x:c>
      <x:c r="Q25" s="16" t="e">
        <x:f>E25-2*O25</x:f>
      </x:c>
      <x:c r="R25" s="16" t="e">
        <x:f>MAX(P25,0.000001)</x:f>
      </x:c>
      <x:c r="S25" s="16" t="e">
        <x:f>IF(B25="S",1,MAX(Q25,0.000001))</x:f>
      </x:c>
      <x:c r="T25" s="16" t="e">
        <x:f>R25*S25</x:f>
      </x:c>
      <x:c r="U25" s="16" t="e">
        <x:f>DEGREES(ATAN(SQRT(Shallow_Input!P25^2+Shallow_Input!Q25^2)/G25))</x:f>
      </x:c>
      <x:c r="V25" s="16" t="n">
        <x:f>EXP(PI()*TAN(RADIANS(Shallow_Input!Y25)))*TAN(PI()/4+RADIANS(Shallow_Input!Y25)/2)^2</x:f>
        <x:v>0.9999999999999998</x:v>
      </x:c>
      <x:c r="W25" s="16" t="n">
        <x:f>IF(ABS(TAN(RADIANS(Shallow_Input!Y25)))&gt;0.0000001,(V25-1)/TAN(RADIANS(Shallow_Input!Y25)),5.14)</x:f>
        <x:v>5.14</x:v>
      </x:c>
      <x:c r="X25" s="16" t="n">
        <x:f>2*(V25+1)*TAN(RADIANS(Shallow_Input!Y25))</x:f>
        <x:v>0</x:v>
      </x:c>
      <x:c r="Y25" s="16" t="e">
        <x:f>IF(B25="S",1,1+R25/S25*V25/MAX(W25,0.000001))</x:f>
      </x:c>
      <x:c r="Z25" s="16" t="e">
        <x:f>IF(B25="S",1,1+R25/S25*TAN(RADIANS(Shallow_Input!Y25)))</x:f>
      </x:c>
      <x:c r="AA25" s="16" t="e">
        <x:f>IF(B25="S",1,1-0.4*R25/S25)</x:f>
      </x:c>
      <x:c r="AB25" s="16" t="e">
        <x:f>1+0.4*IF(F25/MAX(R25,0.000001)&lt;=1,F25/MAX(R25,0.000001),ATAN(F25/MAX(R25,0.000001)))</x:f>
      </x:c>
      <x:c r="AC25" s="16" t="e">
        <x:f>1+2*TAN(RADIANS(Shallow_Input!U25))*(1-SIN(RADIANS(Shallow_Input!U25)))^2*IF(F25/MAX(R25,0.000001)&lt;=1,F25/MAX(R25,0.000001),ATAN(F25/MAX(R25,0.000001)))</x:f>
      </x:c>
      <x:c r="AD25" s="16" t="n">
        <x:f>1</x:f>
        <x:v>1</x:v>
      </x:c>
      <x:c r="AE25" s="16" t="e">
        <x:f>(1-U25/90)^2</x:f>
      </x:c>
      <x:c r="AF25" s="16" t="e">
        <x:f>(1-U25/90)^2</x:f>
      </x:c>
      <x:c r="AG25" s="16" t="n">
        <x:f>IF(Shallow_Input!Y25&gt;0,(1-U25/Shallow_Input!Y25)^2,1)</x:f>
        <x:v>1</x:v>
      </x:c>
      <x:c r="AH25" s="16" t="e">
        <x:f>J25/MAX(G25,0.000001)</x:f>
      </x:c>
      <x:c r="AI25" s="16" t="e">
        <x:f>H25/MAX(L25,0.000001)</x:f>
      </x:c>
      <x:c r="AJ25" s="16" t="e">
        <x:f>IF(K25&gt;=G25,"OK","NG")</x:f>
      </x:c>
      <x:c r="AK25" s="16" t="e">
        <x:f>IF(I25&gt;=L25,"OK","NG")</x:f>
      </x:c>
      <x:c r="AL25" s="16" t="e">
        <x:f>IF(M25&gt;=0,"OK","NG")</x:f>
      </x:c>
      <x:c r="AM25" s="16" t="e">
        <x:f>IF(F25/MAX(R25,0.000001)&lt;=1,"Shallow","Deep")</x:f>
      </x:c>
    </x:row>
    <x:row r="26">
      <x:c r="A26" s="16" t="n">
        <x:f>Shallow_Input!A26</x:f>
        <x:v>0</x:v>
      </x:c>
      <x:c r="B26" s="16" t="n">
        <x:f>Shallow_Input!B26</x:f>
        <x:v>0</x:v>
      </x:c>
      <x:c r="C26" s="16" t="n">
        <x:f>Shallow_Input!C26</x:f>
        <x:v>0</x:v>
      </x:c>
      <x:c r="D26" s="16" t="n">
        <x:f>Shallow_Input!D26</x:f>
        <x:v>0</x:v>
      </x:c>
      <x:c r="E26" s="16" t="e">
        <x:f>IF(B26="S",1,Shallow_Input!E26)</x:f>
      </x:c>
      <x:c r="F26" s="16" t="n">
        <x:f>Shallow_Input!F26</x:f>
        <x:v>0</x:v>
      </x:c>
      <x:c r="G26" s="16" t="e">
        <x:f>LET(B0,D26,L0,E26,D0,F26,t,Shallow_Input!G26,Cx,Shallow_Input!H26,Cy,Shallow_Input!I26,Ox,Shallow_Input!J26,Oy,IF(B26="S",0,Shallow_Input!K26),dw,Shallow_Input!L26,Qc,Shallow_Input!M26,g1u,Shallow_Input!R26,g1sat,Shallow_Input!S26,gc,Shallow_Input!Z26,g1ave,IF(dw&gt;=D0,g1u,IF(dw&lt;=0,g1sat,(g1u*dw+g1sat*(D0-dw))/D0)),g1ave*MAX(B0*L0-Cx*Cy,0)*MAX(D0-t,0)+gc*Cx*Cy*MAX(D0-t,0)+t*B0*L0*gc+Qc)</x:f>
      </x:c>
      <x:c r="H26" s="16" t="e">
        <x:f>LET(shape,B26,B0,D26,L0,E26,D0,F26,dw,Shallow_Input!L26,g1u,Shallow_Input!R26,g1sat,Shallow_Input!S26,gw,Shallow_Input!AA26,g2u,Shallow_Input!V26,g2sat,Shallow_Input!W26,analysis,C26,c2,Shallow_Input!X26,phi1,Shallow_Input!U26,phi2,Shallow_Input!Y26,Bef,R26,Nq,V26,Nc,W26,Ny,X26,Fcs,Y26,Fqs,Z26,Fys,AA26,Fcd,AB26,Fqd,AC26,Fyd,AD26,Fci,AE26,Fqi,AF26,Fyi,AG26,g1ave,IF(dw&gt;=D0,g1u,IF(dw&lt;=0,g1sat,(g1u*dw+g1sat*(D0-dw))/D0)),g1eff,IF(dw&gt;=D0,g1u,IF(dw&lt;=0,g1sat-gw,(g1u*dw+(g1sat-gw)*(D0-dw))/D0)),g2width,IF(shape="S",B0,Bef),g2ave,IF(dw&gt;=D0+g2width,g2u,IF(dw&lt;=D0,g2sat,(g2u*(dw-D0)+g2sat*(g2width-(dw-D0)))/g2width)),g2eff,IF(dw&gt;=D0+g2width,g2u,IF(dw&lt;=D0,g2sat-gw,(g2u*(dw-D0)+(g2sat-gw)*(g2width-(dw-D0)))/g2width)),g1used,IF(analysis="T",g1ave,g1eff),g2used,IF(analysis="T",g2ave,g2eff),q,g1used*D0,c2*Nc*Fcs*Fcd*Fci+q*Nq*Fqs*Fqd*Fqi+0.5*Bef*g2used*Ny*Fys*Fyd*Fyi)</x:f>
      </x:c>
      <x:c r="I26" s="16" t="e">
        <x:f>H26/Shallow_Input!AB26</x:f>
      </x:c>
      <x:c r="J26" s="16" t="e">
        <x:f>H26*T26</x:f>
      </x:c>
      <x:c r="K26" s="16" t="e">
        <x:f>I26*T26</x:f>
      </x:c>
      <x:c r="L26" s="16" t="e">
        <x:f>G26/(D26*E26)*(1+6*N26/D26+6*O26/E26)</x:f>
      </x:c>
      <x:c r="M26" s="16" t="e">
        <x:f>G26/(D26*E26)*(1-6*N26/D26-6*O26/E26)</x:f>
      </x:c>
      <x:c r="N26" s="16" t="e">
        <x:f>ABS((Shallow_Input!Z26*Shallow_Input!H26*Shallow_Input!I26*MAX(Shallow_Input!F26-Shallow_Input!G26,0)+Shallow_Input!M26)*Shallow_Input!J26+Shallow_Input!P26*Shallow_Input!F26+Shallow_Input!O26)/G26</x:f>
      </x:c>
      <x:c r="O26" s="16" t="e">
        <x:f>ABS(((Shallow_Input!Z26*Shallow_Input!H26*Shallow_Input!I26*MAX(Shallow_Input!F26-Shallow_Input!G26,0)+Shallow_Input!M26)*IF(B26="S",0,Shallow_Input!K26)+Shallow_Input!Q26*Shallow_Input!F26+IF(B26="S",0,Shallow_Input!N26))/G26)</x:f>
      </x:c>
      <x:c r="P26" s="16" t="e">
        <x:f>D26-2*N26</x:f>
      </x:c>
      <x:c r="Q26" s="16" t="e">
        <x:f>E26-2*O26</x:f>
      </x:c>
      <x:c r="R26" s="16" t="e">
        <x:f>MAX(P26,0.000001)</x:f>
      </x:c>
      <x:c r="S26" s="16" t="e">
        <x:f>IF(B26="S",1,MAX(Q26,0.000001))</x:f>
      </x:c>
      <x:c r="T26" s="16" t="e">
        <x:f>R26*S26</x:f>
      </x:c>
      <x:c r="U26" s="16" t="e">
        <x:f>DEGREES(ATAN(SQRT(Shallow_Input!P26^2+Shallow_Input!Q26^2)/G26))</x:f>
      </x:c>
      <x:c r="V26" s="16" t="n">
        <x:f>EXP(PI()*TAN(RADIANS(Shallow_Input!Y26)))*TAN(PI()/4+RADIANS(Shallow_Input!Y26)/2)^2</x:f>
        <x:v>0.9999999999999998</x:v>
      </x:c>
      <x:c r="W26" s="16" t="n">
        <x:f>IF(ABS(TAN(RADIANS(Shallow_Input!Y26)))&gt;0.0000001,(V26-1)/TAN(RADIANS(Shallow_Input!Y26)),5.14)</x:f>
        <x:v>5.14</x:v>
      </x:c>
      <x:c r="X26" s="16" t="n">
        <x:f>2*(V26+1)*TAN(RADIANS(Shallow_Input!Y26))</x:f>
        <x:v>0</x:v>
      </x:c>
      <x:c r="Y26" s="16" t="e">
        <x:f>IF(B26="S",1,1+R26/S26*V26/MAX(W26,0.000001))</x:f>
      </x:c>
      <x:c r="Z26" s="16" t="e">
        <x:f>IF(B26="S",1,1+R26/S26*TAN(RADIANS(Shallow_Input!Y26)))</x:f>
      </x:c>
      <x:c r="AA26" s="16" t="e">
        <x:f>IF(B26="S",1,1-0.4*R26/S26)</x:f>
      </x:c>
      <x:c r="AB26" s="16" t="e">
        <x:f>1+0.4*IF(F26/MAX(R26,0.000001)&lt;=1,F26/MAX(R26,0.000001),ATAN(F26/MAX(R26,0.000001)))</x:f>
      </x:c>
      <x:c r="AC26" s="16" t="e">
        <x:f>1+2*TAN(RADIANS(Shallow_Input!U26))*(1-SIN(RADIANS(Shallow_Input!U26)))^2*IF(F26/MAX(R26,0.000001)&lt;=1,F26/MAX(R26,0.000001),ATAN(F26/MAX(R26,0.000001)))</x:f>
      </x:c>
      <x:c r="AD26" s="16" t="n">
        <x:f>1</x:f>
        <x:v>1</x:v>
      </x:c>
      <x:c r="AE26" s="16" t="e">
        <x:f>(1-U26/90)^2</x:f>
      </x:c>
      <x:c r="AF26" s="16" t="e">
        <x:f>(1-U26/90)^2</x:f>
      </x:c>
      <x:c r="AG26" s="16" t="n">
        <x:f>IF(Shallow_Input!Y26&gt;0,(1-U26/Shallow_Input!Y26)^2,1)</x:f>
        <x:v>1</x:v>
      </x:c>
      <x:c r="AH26" s="16" t="e">
        <x:f>J26/MAX(G26,0.000001)</x:f>
      </x:c>
      <x:c r="AI26" s="16" t="e">
        <x:f>H26/MAX(L26,0.000001)</x:f>
      </x:c>
      <x:c r="AJ26" s="16" t="e">
        <x:f>IF(K26&gt;=G26,"OK","NG")</x:f>
      </x:c>
      <x:c r="AK26" s="16" t="e">
        <x:f>IF(I26&gt;=L26,"OK","NG")</x:f>
      </x:c>
      <x:c r="AL26" s="16" t="e">
        <x:f>IF(M26&gt;=0,"OK","NG")</x:f>
      </x:c>
      <x:c r="AM26" s="16" t="e">
        <x:f>IF(F26/MAX(R26,0.000001)&lt;=1,"Shallow","Deep")</x:f>
      </x:c>
    </x:row>
    <x:row r="27">
      <x:c r="A27" s="16" t="n">
        <x:f>Shallow_Input!A27</x:f>
        <x:v>0</x:v>
      </x:c>
      <x:c r="B27" s="16" t="n">
        <x:f>Shallow_Input!B27</x:f>
        <x:v>0</x:v>
      </x:c>
      <x:c r="C27" s="16" t="n">
        <x:f>Shallow_Input!C27</x:f>
        <x:v>0</x:v>
      </x:c>
      <x:c r="D27" s="16" t="n">
        <x:f>Shallow_Input!D27</x:f>
        <x:v>0</x:v>
      </x:c>
      <x:c r="E27" s="16" t="e">
        <x:f>IF(B27="S",1,Shallow_Input!E27)</x:f>
      </x:c>
      <x:c r="F27" s="16" t="n">
        <x:f>Shallow_Input!F27</x:f>
        <x:v>0</x:v>
      </x:c>
      <x:c r="G27" s="16" t="e">
        <x:f>LET(B0,D27,L0,E27,D0,F27,t,Shallow_Input!G27,Cx,Shallow_Input!H27,Cy,Shallow_Input!I27,Ox,Shallow_Input!J27,Oy,IF(B27="S",0,Shallow_Input!K27),dw,Shallow_Input!L27,Qc,Shallow_Input!M27,g1u,Shallow_Input!R27,g1sat,Shallow_Input!S27,gc,Shallow_Input!Z27,g1ave,IF(dw&gt;=D0,g1u,IF(dw&lt;=0,g1sat,(g1u*dw+g1sat*(D0-dw))/D0)),g1ave*MAX(B0*L0-Cx*Cy,0)*MAX(D0-t,0)+gc*Cx*Cy*MAX(D0-t,0)+t*B0*L0*gc+Qc)</x:f>
      </x:c>
      <x:c r="H27" s="16" t="e">
        <x:f>LET(shape,B27,B0,D27,L0,E27,D0,F27,dw,Shallow_Input!L27,g1u,Shallow_Input!R27,g1sat,Shallow_Input!S27,gw,Shallow_Input!AA27,g2u,Shallow_Input!V27,g2sat,Shallow_Input!W27,analysis,C27,c2,Shallow_Input!X27,phi1,Shallow_Input!U27,phi2,Shallow_Input!Y27,Bef,R27,Nq,V27,Nc,W27,Ny,X27,Fcs,Y27,Fqs,Z27,Fys,AA27,Fcd,AB27,Fqd,AC27,Fyd,AD27,Fci,AE27,Fqi,AF27,Fyi,AG27,g1ave,IF(dw&gt;=D0,g1u,IF(dw&lt;=0,g1sat,(g1u*dw+g1sat*(D0-dw))/D0)),g1eff,IF(dw&gt;=D0,g1u,IF(dw&lt;=0,g1sat-gw,(g1u*dw+(g1sat-gw)*(D0-dw))/D0)),g2width,IF(shape="S",B0,Bef),g2ave,IF(dw&gt;=D0+g2width,g2u,IF(dw&lt;=D0,g2sat,(g2u*(dw-D0)+g2sat*(g2width-(dw-D0)))/g2width)),g2eff,IF(dw&gt;=D0+g2width,g2u,IF(dw&lt;=D0,g2sat-gw,(g2u*(dw-D0)+(g2sat-gw)*(g2width-(dw-D0)))/g2width)),g1used,IF(analysis="T",g1ave,g1eff),g2used,IF(analysis="T",g2ave,g2eff),q,g1used*D0,c2*Nc*Fcs*Fcd*Fci+q*Nq*Fqs*Fqd*Fqi+0.5*Bef*g2used*Ny*Fys*Fyd*Fyi)</x:f>
      </x:c>
      <x:c r="I27" s="16" t="e">
        <x:f>H27/Shallow_Input!AB27</x:f>
      </x:c>
      <x:c r="J27" s="16" t="e">
        <x:f>H27*T27</x:f>
      </x:c>
      <x:c r="K27" s="16" t="e">
        <x:f>I27*T27</x:f>
      </x:c>
      <x:c r="L27" s="16" t="e">
        <x:f>G27/(D27*E27)*(1+6*N27/D27+6*O27/E27)</x:f>
      </x:c>
      <x:c r="M27" s="16" t="e">
        <x:f>G27/(D27*E27)*(1-6*N27/D27-6*O27/E27)</x:f>
      </x:c>
      <x:c r="N27" s="16" t="e">
        <x:f>ABS((Shallow_Input!Z27*Shallow_Input!H27*Shallow_Input!I27*MAX(Shallow_Input!F27-Shallow_Input!G27,0)+Shallow_Input!M27)*Shallow_Input!J27+Shallow_Input!P27*Shallow_Input!F27+Shallow_Input!O27)/G27</x:f>
      </x:c>
      <x:c r="O27" s="16" t="e">
        <x:f>ABS(((Shallow_Input!Z27*Shallow_Input!H27*Shallow_Input!I27*MAX(Shallow_Input!F27-Shallow_Input!G27,0)+Shallow_Input!M27)*IF(B27="S",0,Shallow_Input!K27)+Shallow_Input!Q27*Shallow_Input!F27+IF(B27="S",0,Shallow_Input!N27))/G27)</x:f>
      </x:c>
      <x:c r="P27" s="16" t="e">
        <x:f>D27-2*N27</x:f>
      </x:c>
      <x:c r="Q27" s="16" t="e">
        <x:f>E27-2*O27</x:f>
      </x:c>
      <x:c r="R27" s="16" t="e">
        <x:f>MAX(P27,0.000001)</x:f>
      </x:c>
      <x:c r="S27" s="16" t="e">
        <x:f>IF(B27="S",1,MAX(Q27,0.000001))</x:f>
      </x:c>
      <x:c r="T27" s="16" t="e">
        <x:f>R27*S27</x:f>
      </x:c>
      <x:c r="U27" s="16" t="e">
        <x:f>DEGREES(ATAN(SQRT(Shallow_Input!P27^2+Shallow_Input!Q27^2)/G27))</x:f>
      </x:c>
      <x:c r="V27" s="16" t="n">
        <x:f>EXP(PI()*TAN(RADIANS(Shallow_Input!Y27)))*TAN(PI()/4+RADIANS(Shallow_Input!Y27)/2)^2</x:f>
        <x:v>0.9999999999999998</x:v>
      </x:c>
      <x:c r="W27" s="16" t="n">
        <x:f>IF(ABS(TAN(RADIANS(Shallow_Input!Y27)))&gt;0.0000001,(V27-1)/TAN(RADIANS(Shallow_Input!Y27)),5.14)</x:f>
        <x:v>5.14</x:v>
      </x:c>
      <x:c r="X27" s="16" t="n">
        <x:f>2*(V27+1)*TAN(RADIANS(Shallow_Input!Y27))</x:f>
        <x:v>0</x:v>
      </x:c>
      <x:c r="Y27" s="16" t="e">
        <x:f>IF(B27="S",1,1+R27/S27*V27/MAX(W27,0.000001))</x:f>
      </x:c>
      <x:c r="Z27" s="16" t="e">
        <x:f>IF(B27="S",1,1+R27/S27*TAN(RADIANS(Shallow_Input!Y27)))</x:f>
      </x:c>
      <x:c r="AA27" s="16" t="e">
        <x:f>IF(B27="S",1,1-0.4*R27/S27)</x:f>
      </x:c>
      <x:c r="AB27" s="16" t="e">
        <x:f>1+0.4*IF(F27/MAX(R27,0.000001)&lt;=1,F27/MAX(R27,0.000001),ATAN(F27/MAX(R27,0.000001)))</x:f>
      </x:c>
      <x:c r="AC27" s="16" t="e">
        <x:f>1+2*TAN(RADIANS(Shallow_Input!U27))*(1-SIN(RADIANS(Shallow_Input!U27)))^2*IF(F27/MAX(R27,0.000001)&lt;=1,F27/MAX(R27,0.000001),ATAN(F27/MAX(R27,0.000001)))</x:f>
      </x:c>
      <x:c r="AD27" s="16" t="n">
        <x:f>1</x:f>
        <x:v>1</x:v>
      </x:c>
      <x:c r="AE27" s="16" t="e">
        <x:f>(1-U27/90)^2</x:f>
      </x:c>
      <x:c r="AF27" s="16" t="e">
        <x:f>(1-U27/90)^2</x:f>
      </x:c>
      <x:c r="AG27" s="16" t="n">
        <x:f>IF(Shallow_Input!Y27&gt;0,(1-U27/Shallow_Input!Y27)^2,1)</x:f>
        <x:v>1</x:v>
      </x:c>
      <x:c r="AH27" s="16" t="e">
        <x:f>J27/MAX(G27,0.000001)</x:f>
      </x:c>
      <x:c r="AI27" s="16" t="e">
        <x:f>H27/MAX(L27,0.000001)</x:f>
      </x:c>
      <x:c r="AJ27" s="16" t="e">
        <x:f>IF(K27&gt;=G27,"OK","NG")</x:f>
      </x:c>
      <x:c r="AK27" s="16" t="e">
        <x:f>IF(I27&gt;=L27,"OK","NG")</x:f>
      </x:c>
      <x:c r="AL27" s="16" t="e">
        <x:f>IF(M27&gt;=0,"OK","NG")</x:f>
      </x:c>
      <x:c r="AM27" s="16" t="e">
        <x:f>IF(F27/MAX(R27,0.000001)&lt;=1,"Shallow","Deep")</x:f>
      </x:c>
    </x:row>
    <x:row r="28">
      <x:c r="A28" s="16" t="n">
        <x:f>Shallow_Input!A28</x:f>
        <x:v>0</x:v>
      </x:c>
      <x:c r="B28" s="16" t="n">
        <x:f>Shallow_Input!B28</x:f>
        <x:v>0</x:v>
      </x:c>
      <x:c r="C28" s="16" t="n">
        <x:f>Shallow_Input!C28</x:f>
        <x:v>0</x:v>
      </x:c>
      <x:c r="D28" s="16" t="n">
        <x:f>Shallow_Input!D28</x:f>
        <x:v>0</x:v>
      </x:c>
      <x:c r="E28" s="16" t="e">
        <x:f>IF(B28="S",1,Shallow_Input!E28)</x:f>
      </x:c>
      <x:c r="F28" s="16" t="n">
        <x:f>Shallow_Input!F28</x:f>
        <x:v>0</x:v>
      </x:c>
      <x:c r="G28" s="16" t="e">
        <x:f>LET(B0,D28,L0,E28,D0,F28,t,Shallow_Input!G28,Cx,Shallow_Input!H28,Cy,Shallow_Input!I28,Ox,Shallow_Input!J28,Oy,IF(B28="S",0,Shallow_Input!K28),dw,Shallow_Input!L28,Qc,Shallow_Input!M28,g1u,Shallow_Input!R28,g1sat,Shallow_Input!S28,gc,Shallow_Input!Z28,g1ave,IF(dw&gt;=D0,g1u,IF(dw&lt;=0,g1sat,(g1u*dw+g1sat*(D0-dw))/D0)),g1ave*MAX(B0*L0-Cx*Cy,0)*MAX(D0-t,0)+gc*Cx*Cy*MAX(D0-t,0)+t*B0*L0*gc+Qc)</x:f>
      </x:c>
      <x:c r="H28" s="16" t="e">
        <x:f>LET(shape,B28,B0,D28,L0,E28,D0,F28,dw,Shallow_Input!L28,g1u,Shallow_Input!R28,g1sat,Shallow_Input!S28,gw,Shallow_Input!AA28,g2u,Shallow_Input!V28,g2sat,Shallow_Input!W28,analysis,C28,c2,Shallow_Input!X28,phi1,Shallow_Input!U28,phi2,Shallow_Input!Y28,Bef,R28,Nq,V28,Nc,W28,Ny,X28,Fcs,Y28,Fqs,Z28,Fys,AA28,Fcd,AB28,Fqd,AC28,Fyd,AD28,Fci,AE28,Fqi,AF28,Fyi,AG28,g1ave,IF(dw&gt;=D0,g1u,IF(dw&lt;=0,g1sat,(g1u*dw+g1sat*(D0-dw))/D0)),g1eff,IF(dw&gt;=D0,g1u,IF(dw&lt;=0,g1sat-gw,(g1u*dw+(g1sat-gw)*(D0-dw))/D0)),g2width,IF(shape="S",B0,Bef),g2ave,IF(dw&gt;=D0+g2width,g2u,IF(dw&lt;=D0,g2sat,(g2u*(dw-D0)+g2sat*(g2width-(dw-D0)))/g2width)),g2eff,IF(dw&gt;=D0+g2width,g2u,IF(dw&lt;=D0,g2sat-gw,(g2u*(dw-D0)+(g2sat-gw)*(g2width-(dw-D0)))/g2width)),g1used,IF(analysis="T",g1ave,g1eff),g2used,IF(analysis="T",g2ave,g2eff),q,g1used*D0,c2*Nc*Fcs*Fcd*Fci+q*Nq*Fqs*Fqd*Fqi+0.5*Bef*g2used*Ny*Fys*Fyd*Fyi)</x:f>
      </x:c>
      <x:c r="I28" s="16" t="e">
        <x:f>H28/Shallow_Input!AB28</x:f>
      </x:c>
      <x:c r="J28" s="16" t="e">
        <x:f>H28*T28</x:f>
      </x:c>
      <x:c r="K28" s="16" t="e">
        <x:f>I28*T28</x:f>
      </x:c>
      <x:c r="L28" s="16" t="e">
        <x:f>G28/(D28*E28)*(1+6*N28/D28+6*O28/E28)</x:f>
      </x:c>
      <x:c r="M28" s="16" t="e">
        <x:f>G28/(D28*E28)*(1-6*N28/D28-6*O28/E28)</x:f>
      </x:c>
      <x:c r="N28" s="16" t="e">
        <x:f>ABS((Shallow_Input!Z28*Shallow_Input!H28*Shallow_Input!I28*MAX(Shallow_Input!F28-Shallow_Input!G28,0)+Shallow_Input!M28)*Shallow_Input!J28+Shallow_Input!P28*Shallow_Input!F28+Shallow_Input!O28)/G28</x:f>
      </x:c>
      <x:c r="O28" s="16" t="e">
        <x:f>ABS(((Shallow_Input!Z28*Shallow_Input!H28*Shallow_Input!I28*MAX(Shallow_Input!F28-Shallow_Input!G28,0)+Shallow_Input!M28)*IF(B28="S",0,Shallow_Input!K28)+Shallow_Input!Q28*Shallow_Input!F28+IF(B28="S",0,Shallow_Input!N28))/G28)</x:f>
      </x:c>
      <x:c r="P28" s="16" t="e">
        <x:f>D28-2*N28</x:f>
      </x:c>
      <x:c r="Q28" s="16" t="e">
        <x:f>E28-2*O28</x:f>
      </x:c>
      <x:c r="R28" s="16" t="e">
        <x:f>MAX(P28,0.000001)</x:f>
      </x:c>
      <x:c r="S28" s="16" t="e">
        <x:f>IF(B28="S",1,MAX(Q28,0.000001))</x:f>
      </x:c>
      <x:c r="T28" s="16" t="e">
        <x:f>R28*S28</x:f>
      </x:c>
      <x:c r="U28" s="16" t="e">
        <x:f>DEGREES(ATAN(SQRT(Shallow_Input!P28^2+Shallow_Input!Q28^2)/G28))</x:f>
      </x:c>
      <x:c r="V28" s="16" t="n">
        <x:f>EXP(PI()*TAN(RADIANS(Shallow_Input!Y28)))*TAN(PI()/4+RADIANS(Shallow_Input!Y28)/2)^2</x:f>
        <x:v>0.9999999999999998</x:v>
      </x:c>
      <x:c r="W28" s="16" t="n">
        <x:f>IF(ABS(TAN(RADIANS(Shallow_Input!Y28)))&gt;0.0000001,(V28-1)/TAN(RADIANS(Shallow_Input!Y28)),5.14)</x:f>
        <x:v>5.14</x:v>
      </x:c>
      <x:c r="X28" s="16" t="n">
        <x:f>2*(V28+1)*TAN(RADIANS(Shallow_Input!Y28))</x:f>
        <x:v>0</x:v>
      </x:c>
      <x:c r="Y28" s="16" t="e">
        <x:f>IF(B28="S",1,1+R28/S28*V28/MAX(W28,0.000001))</x:f>
      </x:c>
      <x:c r="Z28" s="16" t="e">
        <x:f>IF(B28="S",1,1+R28/S28*TAN(RADIANS(Shallow_Input!Y28)))</x:f>
      </x:c>
      <x:c r="AA28" s="16" t="e">
        <x:f>IF(B28="S",1,1-0.4*R28/S28)</x:f>
      </x:c>
      <x:c r="AB28" s="16" t="e">
        <x:f>1+0.4*IF(F28/MAX(R28,0.000001)&lt;=1,F28/MAX(R28,0.000001),ATAN(F28/MAX(R28,0.000001)))</x:f>
      </x:c>
      <x:c r="AC28" s="16" t="e">
        <x:f>1+2*TAN(RADIANS(Shallow_Input!U28))*(1-SIN(RADIANS(Shallow_Input!U28)))^2*IF(F28/MAX(R28,0.000001)&lt;=1,F28/MAX(R28,0.000001),ATAN(F28/MAX(R28,0.000001)))</x:f>
      </x:c>
      <x:c r="AD28" s="16" t="n">
        <x:f>1</x:f>
        <x:v>1</x:v>
      </x:c>
      <x:c r="AE28" s="16" t="e">
        <x:f>(1-U28/90)^2</x:f>
      </x:c>
      <x:c r="AF28" s="16" t="e">
        <x:f>(1-U28/90)^2</x:f>
      </x:c>
      <x:c r="AG28" s="16" t="n">
        <x:f>IF(Shallow_Input!Y28&gt;0,(1-U28/Shallow_Input!Y28)^2,1)</x:f>
        <x:v>1</x:v>
      </x:c>
      <x:c r="AH28" s="16" t="e">
        <x:f>J28/MAX(G28,0.000001)</x:f>
      </x:c>
      <x:c r="AI28" s="16" t="e">
        <x:f>H28/MAX(L28,0.000001)</x:f>
      </x:c>
      <x:c r="AJ28" s="16" t="e">
        <x:f>IF(K28&gt;=G28,"OK","NG")</x:f>
      </x:c>
      <x:c r="AK28" s="16" t="e">
        <x:f>IF(I28&gt;=L28,"OK","NG")</x:f>
      </x:c>
      <x:c r="AL28" s="16" t="e">
        <x:f>IF(M28&gt;=0,"OK","NG")</x:f>
      </x:c>
      <x:c r="AM28" s="16" t="e">
        <x:f>IF(F28/MAX(R28,0.000001)&lt;=1,"Shallow","Deep")</x:f>
      </x:c>
    </x:row>
    <x:row r="29">
      <x:c r="A29" s="16" t="n">
        <x:f>Shallow_Input!A29</x:f>
        <x:v>0</x:v>
      </x:c>
      <x:c r="B29" s="16" t="n">
        <x:f>Shallow_Input!B29</x:f>
        <x:v>0</x:v>
      </x:c>
      <x:c r="C29" s="16" t="n">
        <x:f>Shallow_Input!C29</x:f>
        <x:v>0</x:v>
      </x:c>
      <x:c r="D29" s="16" t="n">
        <x:f>Shallow_Input!D29</x:f>
        <x:v>0</x:v>
      </x:c>
      <x:c r="E29" s="16" t="e">
        <x:f>IF(B29="S",1,Shallow_Input!E29)</x:f>
      </x:c>
      <x:c r="F29" s="16" t="n">
        <x:f>Shallow_Input!F29</x:f>
        <x:v>0</x:v>
      </x:c>
      <x:c r="G29" s="16" t="e">
        <x:f>LET(B0,D29,L0,E29,D0,F29,t,Shallow_Input!G29,Cx,Shallow_Input!H29,Cy,Shallow_Input!I29,Ox,Shallow_Input!J29,Oy,IF(B29="S",0,Shallow_Input!K29),dw,Shallow_Input!L29,Qc,Shallow_Input!M29,g1u,Shallow_Input!R29,g1sat,Shallow_Input!S29,gc,Shallow_Input!Z29,g1ave,IF(dw&gt;=D0,g1u,IF(dw&lt;=0,g1sat,(g1u*dw+g1sat*(D0-dw))/D0)),g1ave*MAX(B0*L0-Cx*Cy,0)*MAX(D0-t,0)+gc*Cx*Cy*MAX(D0-t,0)+t*B0*L0*gc+Qc)</x:f>
      </x:c>
      <x:c r="H29" s="16" t="e">
        <x:f>LET(shape,B29,B0,D29,L0,E29,D0,F29,dw,Shallow_Input!L29,g1u,Shallow_Input!R29,g1sat,Shallow_Input!S29,gw,Shallow_Input!AA29,g2u,Shallow_Input!V29,g2sat,Shallow_Input!W29,analysis,C29,c2,Shallow_Input!X29,phi1,Shallow_Input!U29,phi2,Shallow_Input!Y29,Bef,R29,Nq,V29,Nc,W29,Ny,X29,Fcs,Y29,Fqs,Z29,Fys,AA29,Fcd,AB29,Fqd,AC29,Fyd,AD29,Fci,AE29,Fqi,AF29,Fyi,AG29,g1ave,IF(dw&gt;=D0,g1u,IF(dw&lt;=0,g1sat,(g1u*dw+g1sat*(D0-dw))/D0)),g1eff,IF(dw&gt;=D0,g1u,IF(dw&lt;=0,g1sat-gw,(g1u*dw+(g1sat-gw)*(D0-dw))/D0)),g2width,IF(shape="S",B0,Bef),g2ave,IF(dw&gt;=D0+g2width,g2u,IF(dw&lt;=D0,g2sat,(g2u*(dw-D0)+g2sat*(g2width-(dw-D0)))/g2width)),g2eff,IF(dw&gt;=D0+g2width,g2u,IF(dw&lt;=D0,g2sat-gw,(g2u*(dw-D0)+(g2sat-gw)*(g2width-(dw-D0)))/g2width)),g1used,IF(analysis="T",g1ave,g1eff),g2used,IF(analysis="T",g2ave,g2eff),q,g1used*D0,c2*Nc*Fcs*Fcd*Fci+q*Nq*Fqs*Fqd*Fqi+0.5*Bef*g2used*Ny*Fys*Fyd*Fyi)</x:f>
      </x:c>
      <x:c r="I29" s="16" t="e">
        <x:f>H29/Shallow_Input!AB29</x:f>
      </x:c>
      <x:c r="J29" s="16" t="e">
        <x:f>H29*T29</x:f>
      </x:c>
      <x:c r="K29" s="16" t="e">
        <x:f>I29*T29</x:f>
      </x:c>
      <x:c r="L29" s="16" t="e">
        <x:f>G29/(D29*E29)*(1+6*N29/D29+6*O29/E29)</x:f>
      </x:c>
      <x:c r="M29" s="16" t="e">
        <x:f>G29/(D29*E29)*(1-6*N29/D29-6*O29/E29)</x:f>
      </x:c>
      <x:c r="N29" s="16" t="e">
        <x:f>ABS((Shallow_Input!Z29*Shallow_Input!H29*Shallow_Input!I29*MAX(Shallow_Input!F29-Shallow_Input!G29,0)+Shallow_Input!M29)*Shallow_Input!J29+Shallow_Input!P29*Shallow_Input!F29+Shallow_Input!O29)/G29</x:f>
      </x:c>
      <x:c r="O29" s="16" t="e">
        <x:f>ABS(((Shallow_Input!Z29*Shallow_Input!H29*Shallow_Input!I29*MAX(Shallow_Input!F29-Shallow_Input!G29,0)+Shallow_Input!M29)*IF(B29="S",0,Shallow_Input!K29)+Shallow_Input!Q29*Shallow_Input!F29+IF(B29="S",0,Shallow_Input!N29))/G29)</x:f>
      </x:c>
      <x:c r="P29" s="16" t="e">
        <x:f>D29-2*N29</x:f>
      </x:c>
      <x:c r="Q29" s="16" t="e">
        <x:f>E29-2*O29</x:f>
      </x:c>
      <x:c r="R29" s="16" t="e">
        <x:f>MAX(P29,0.000001)</x:f>
      </x:c>
      <x:c r="S29" s="16" t="e">
        <x:f>IF(B29="S",1,MAX(Q29,0.000001))</x:f>
      </x:c>
      <x:c r="T29" s="16" t="e">
        <x:f>R29*S29</x:f>
      </x:c>
      <x:c r="U29" s="16" t="e">
        <x:f>DEGREES(ATAN(SQRT(Shallow_Input!P29^2+Shallow_Input!Q29^2)/G29))</x:f>
      </x:c>
      <x:c r="V29" s="16" t="n">
        <x:f>EXP(PI()*TAN(RADIANS(Shallow_Input!Y29)))*TAN(PI()/4+RADIANS(Shallow_Input!Y29)/2)^2</x:f>
        <x:v>0.9999999999999998</x:v>
      </x:c>
      <x:c r="W29" s="16" t="n">
        <x:f>IF(ABS(TAN(RADIANS(Shallow_Input!Y29)))&gt;0.0000001,(V29-1)/TAN(RADIANS(Shallow_Input!Y29)),5.14)</x:f>
        <x:v>5.14</x:v>
      </x:c>
      <x:c r="X29" s="16" t="n">
        <x:f>2*(V29+1)*TAN(RADIANS(Shallow_Input!Y29))</x:f>
        <x:v>0</x:v>
      </x:c>
      <x:c r="Y29" s="16" t="e">
        <x:f>IF(B29="S",1,1+R29/S29*V29/MAX(W29,0.000001))</x:f>
      </x:c>
      <x:c r="Z29" s="16" t="e">
        <x:f>IF(B29="S",1,1+R29/S29*TAN(RADIANS(Shallow_Input!Y29)))</x:f>
      </x:c>
      <x:c r="AA29" s="16" t="e">
        <x:f>IF(B29="S",1,1-0.4*R29/S29)</x:f>
      </x:c>
      <x:c r="AB29" s="16" t="e">
        <x:f>1+0.4*IF(F29/MAX(R29,0.000001)&lt;=1,F29/MAX(R29,0.000001),ATAN(F29/MAX(R29,0.000001)))</x:f>
      </x:c>
      <x:c r="AC29" s="16" t="e">
        <x:f>1+2*TAN(RADIANS(Shallow_Input!U29))*(1-SIN(RADIANS(Shallow_Input!U29)))^2*IF(F29/MAX(R29,0.000001)&lt;=1,F29/MAX(R29,0.000001),ATAN(F29/MAX(R29,0.000001)))</x:f>
      </x:c>
      <x:c r="AD29" s="16" t="n">
        <x:f>1</x:f>
        <x:v>1</x:v>
      </x:c>
      <x:c r="AE29" s="16" t="e">
        <x:f>(1-U29/90)^2</x:f>
      </x:c>
      <x:c r="AF29" s="16" t="e">
        <x:f>(1-U29/90)^2</x:f>
      </x:c>
      <x:c r="AG29" s="16" t="n">
        <x:f>IF(Shallow_Input!Y29&gt;0,(1-U29/Shallow_Input!Y29)^2,1)</x:f>
        <x:v>1</x:v>
      </x:c>
      <x:c r="AH29" s="16" t="e">
        <x:f>J29/MAX(G29,0.000001)</x:f>
      </x:c>
      <x:c r="AI29" s="16" t="e">
        <x:f>H29/MAX(L29,0.000001)</x:f>
      </x:c>
      <x:c r="AJ29" s="16" t="e">
        <x:f>IF(K29&gt;=G29,"OK","NG")</x:f>
      </x:c>
      <x:c r="AK29" s="16" t="e">
        <x:f>IF(I29&gt;=L29,"OK","NG")</x:f>
      </x:c>
      <x:c r="AL29" s="16" t="e">
        <x:f>IF(M29&gt;=0,"OK","NG")</x:f>
      </x:c>
      <x:c r="AM29" s="16" t="e">
        <x:f>IF(F29/MAX(R29,0.000001)&lt;=1,"Shallow","Deep")</x:f>
      </x:c>
    </x:row>
    <x:row r="30">
      <x:c r="A30" s="16" t="n">
        <x:f>Shallow_Input!A30</x:f>
        <x:v>0</x:v>
      </x:c>
      <x:c r="B30" s="16" t="n">
        <x:f>Shallow_Input!B30</x:f>
        <x:v>0</x:v>
      </x:c>
      <x:c r="C30" s="16" t="n">
        <x:f>Shallow_Input!C30</x:f>
        <x:v>0</x:v>
      </x:c>
      <x:c r="D30" s="16" t="n">
        <x:f>Shallow_Input!D30</x:f>
        <x:v>0</x:v>
      </x:c>
      <x:c r="E30" s="16" t="e">
        <x:f>IF(B30="S",1,Shallow_Input!E30)</x:f>
      </x:c>
      <x:c r="F30" s="16" t="n">
        <x:f>Shallow_Input!F30</x:f>
        <x:v>0</x:v>
      </x:c>
      <x:c r="G30" s="16" t="e">
        <x:f>LET(B0,D30,L0,E30,D0,F30,t,Shallow_Input!G30,Cx,Shallow_Input!H30,Cy,Shallow_Input!I30,Ox,Shallow_Input!J30,Oy,IF(B30="S",0,Shallow_Input!K30),dw,Shallow_Input!L30,Qc,Shallow_Input!M30,g1u,Shallow_Input!R30,g1sat,Shallow_Input!S30,gc,Shallow_Input!Z30,g1ave,IF(dw&gt;=D0,g1u,IF(dw&lt;=0,g1sat,(g1u*dw+g1sat*(D0-dw))/D0)),g1ave*MAX(B0*L0-Cx*Cy,0)*MAX(D0-t,0)+gc*Cx*Cy*MAX(D0-t,0)+t*B0*L0*gc+Qc)</x:f>
      </x:c>
      <x:c r="H30" s="16" t="e">
        <x:f>LET(shape,B30,B0,D30,L0,E30,D0,F30,dw,Shallow_Input!L30,g1u,Shallow_Input!R30,g1sat,Shallow_Input!S30,gw,Shallow_Input!AA30,g2u,Shallow_Input!V30,g2sat,Shallow_Input!W30,analysis,C30,c2,Shallow_Input!X30,phi1,Shallow_Input!U30,phi2,Shallow_Input!Y30,Bef,R30,Nq,V30,Nc,W30,Ny,X30,Fcs,Y30,Fqs,Z30,Fys,AA30,Fcd,AB30,Fqd,AC30,Fyd,AD30,Fci,AE30,Fqi,AF30,Fyi,AG30,g1ave,IF(dw&gt;=D0,g1u,IF(dw&lt;=0,g1sat,(g1u*dw+g1sat*(D0-dw))/D0)),g1eff,IF(dw&gt;=D0,g1u,IF(dw&lt;=0,g1sat-gw,(g1u*dw+(g1sat-gw)*(D0-dw))/D0)),g2width,IF(shape="S",B0,Bef),g2ave,IF(dw&gt;=D0+g2width,g2u,IF(dw&lt;=D0,g2sat,(g2u*(dw-D0)+g2sat*(g2width-(dw-D0)))/g2width)),g2eff,IF(dw&gt;=D0+g2width,g2u,IF(dw&lt;=D0,g2sat-gw,(g2u*(dw-D0)+(g2sat-gw)*(g2width-(dw-D0)))/g2width)),g1used,IF(analysis="T",g1ave,g1eff),g2used,IF(analysis="T",g2ave,g2eff),q,g1used*D0,c2*Nc*Fcs*Fcd*Fci+q*Nq*Fqs*Fqd*Fqi+0.5*Bef*g2used*Ny*Fys*Fyd*Fyi)</x:f>
      </x:c>
      <x:c r="I30" s="16" t="e">
        <x:f>H30/Shallow_Input!AB30</x:f>
      </x:c>
      <x:c r="J30" s="16" t="e">
        <x:f>H30*T30</x:f>
      </x:c>
      <x:c r="K30" s="16" t="e">
        <x:f>I30*T30</x:f>
      </x:c>
      <x:c r="L30" s="16" t="e">
        <x:f>G30/(D30*E30)*(1+6*N30/D30+6*O30/E30)</x:f>
      </x:c>
      <x:c r="M30" s="16" t="e">
        <x:f>G30/(D30*E30)*(1-6*N30/D30-6*O30/E30)</x:f>
      </x:c>
      <x:c r="N30" s="16" t="e">
        <x:f>ABS((Shallow_Input!Z30*Shallow_Input!H30*Shallow_Input!I30*MAX(Shallow_Input!F30-Shallow_Input!G30,0)+Shallow_Input!M30)*Shallow_Input!J30+Shallow_Input!P30*Shallow_Input!F30+Shallow_Input!O30)/G30</x:f>
      </x:c>
      <x:c r="O30" s="16" t="e">
        <x:f>ABS(((Shallow_Input!Z30*Shallow_Input!H30*Shallow_Input!I30*MAX(Shallow_Input!F30-Shallow_Input!G30,0)+Shallow_Input!M30)*IF(B30="S",0,Shallow_Input!K30)+Shallow_Input!Q30*Shallow_Input!F30+IF(B30="S",0,Shallow_Input!N30))/G30)</x:f>
      </x:c>
      <x:c r="P30" s="16" t="e">
        <x:f>D30-2*N30</x:f>
      </x:c>
      <x:c r="Q30" s="16" t="e">
        <x:f>E30-2*O30</x:f>
      </x:c>
      <x:c r="R30" s="16" t="e">
        <x:f>MAX(P30,0.000001)</x:f>
      </x:c>
      <x:c r="S30" s="16" t="e">
        <x:f>IF(B30="S",1,MAX(Q30,0.000001))</x:f>
      </x:c>
      <x:c r="T30" s="16" t="e">
        <x:f>R30*S30</x:f>
      </x:c>
      <x:c r="U30" s="16" t="e">
        <x:f>DEGREES(ATAN(SQRT(Shallow_Input!P30^2+Shallow_Input!Q30^2)/G30))</x:f>
      </x:c>
      <x:c r="V30" s="16" t="n">
        <x:f>EXP(PI()*TAN(RADIANS(Shallow_Input!Y30)))*TAN(PI()/4+RADIANS(Shallow_Input!Y30)/2)^2</x:f>
        <x:v>0.9999999999999998</x:v>
      </x:c>
      <x:c r="W30" s="16" t="n">
        <x:f>IF(ABS(TAN(RADIANS(Shallow_Input!Y30)))&gt;0.0000001,(V30-1)/TAN(RADIANS(Shallow_Input!Y30)),5.14)</x:f>
        <x:v>5.14</x:v>
      </x:c>
      <x:c r="X30" s="16" t="n">
        <x:f>2*(V30+1)*TAN(RADIANS(Shallow_Input!Y30))</x:f>
        <x:v>0</x:v>
      </x:c>
      <x:c r="Y30" s="16" t="e">
        <x:f>IF(B30="S",1,1+R30/S30*V30/MAX(W30,0.000001))</x:f>
      </x:c>
      <x:c r="Z30" s="16" t="e">
        <x:f>IF(B30="S",1,1+R30/S30*TAN(RADIANS(Shallow_Input!Y30)))</x:f>
      </x:c>
      <x:c r="AA30" s="16" t="e">
        <x:f>IF(B30="S",1,1-0.4*R30/S30)</x:f>
      </x:c>
      <x:c r="AB30" s="16" t="e">
        <x:f>1+0.4*IF(F30/MAX(R30,0.000001)&lt;=1,F30/MAX(R30,0.000001),ATAN(F30/MAX(R30,0.000001)))</x:f>
      </x:c>
      <x:c r="AC30" s="16" t="e">
        <x:f>1+2*TAN(RADIANS(Shallow_Input!U30))*(1-SIN(RADIANS(Shallow_Input!U30)))^2*IF(F30/MAX(R30,0.000001)&lt;=1,F30/MAX(R30,0.000001),ATAN(F30/MAX(R30,0.000001)))</x:f>
      </x:c>
      <x:c r="AD30" s="16" t="n">
        <x:f>1</x:f>
        <x:v>1</x:v>
      </x:c>
      <x:c r="AE30" s="16" t="e">
        <x:f>(1-U30/90)^2</x:f>
      </x:c>
      <x:c r="AF30" s="16" t="e">
        <x:f>(1-U30/90)^2</x:f>
      </x:c>
      <x:c r="AG30" s="16" t="n">
        <x:f>IF(Shallow_Input!Y30&gt;0,(1-U30/Shallow_Input!Y30)^2,1)</x:f>
        <x:v>1</x:v>
      </x:c>
      <x:c r="AH30" s="16" t="e">
        <x:f>J30/MAX(G30,0.000001)</x:f>
      </x:c>
      <x:c r="AI30" s="16" t="e">
        <x:f>H30/MAX(L30,0.000001)</x:f>
      </x:c>
      <x:c r="AJ30" s="16" t="e">
        <x:f>IF(K30&gt;=G30,"OK","NG")</x:f>
      </x:c>
      <x:c r="AK30" s="16" t="e">
        <x:f>IF(I30&gt;=L30,"OK","NG")</x:f>
      </x:c>
      <x:c r="AL30" s="16" t="e">
        <x:f>IF(M30&gt;=0,"OK","NG")</x:f>
      </x:c>
      <x:c r="AM30" s="16" t="e">
        <x:f>IF(F30/MAX(R30,0.000001)&lt;=1,"Shallow","Deep")</x:f>
      </x:c>
    </x:row>
    <x:row r="31">
      <x:c r="A31" s="16" t="n">
        <x:f>Shallow_Input!A31</x:f>
        <x:v>0</x:v>
      </x:c>
      <x:c r="B31" s="16" t="n">
        <x:f>Shallow_Input!B31</x:f>
        <x:v>0</x:v>
      </x:c>
      <x:c r="C31" s="16" t="n">
        <x:f>Shallow_Input!C31</x:f>
        <x:v>0</x:v>
      </x:c>
      <x:c r="D31" s="16" t="n">
        <x:f>Shallow_Input!D31</x:f>
        <x:v>0</x:v>
      </x:c>
      <x:c r="E31" s="16" t="e">
        <x:f>IF(B31="S",1,Shallow_Input!E31)</x:f>
      </x:c>
      <x:c r="F31" s="16" t="n">
        <x:f>Shallow_Input!F31</x:f>
        <x:v>0</x:v>
      </x:c>
      <x:c r="G31" s="16" t="e">
        <x:f>LET(B0,D31,L0,E31,D0,F31,t,Shallow_Input!G31,Cx,Shallow_Input!H31,Cy,Shallow_Input!I31,Ox,Shallow_Input!J31,Oy,IF(B31="S",0,Shallow_Input!K31),dw,Shallow_Input!L31,Qc,Shallow_Input!M31,g1u,Shallow_Input!R31,g1sat,Shallow_Input!S31,gc,Shallow_Input!Z31,g1ave,IF(dw&gt;=D0,g1u,IF(dw&lt;=0,g1sat,(g1u*dw+g1sat*(D0-dw))/D0)),g1ave*MAX(B0*L0-Cx*Cy,0)*MAX(D0-t,0)+gc*Cx*Cy*MAX(D0-t,0)+t*B0*L0*gc+Qc)</x:f>
      </x:c>
      <x:c r="H31" s="16" t="e">
        <x:f>LET(shape,B31,B0,D31,L0,E31,D0,F31,dw,Shallow_Input!L31,g1u,Shallow_Input!R31,g1sat,Shallow_Input!S31,gw,Shallow_Input!AA31,g2u,Shallow_Input!V31,g2sat,Shallow_Input!W31,analysis,C31,c2,Shallow_Input!X31,phi1,Shallow_Input!U31,phi2,Shallow_Input!Y31,Bef,R31,Nq,V31,Nc,W31,Ny,X31,Fcs,Y31,Fqs,Z31,Fys,AA31,Fcd,AB31,Fqd,AC31,Fyd,AD31,Fci,AE31,Fqi,AF31,Fyi,AG31,g1ave,IF(dw&gt;=D0,g1u,IF(dw&lt;=0,g1sat,(g1u*dw+g1sat*(D0-dw))/D0)),g1eff,IF(dw&gt;=D0,g1u,IF(dw&lt;=0,g1sat-gw,(g1u*dw+(g1sat-gw)*(D0-dw))/D0)),g2width,IF(shape="S",B0,Bef),g2ave,IF(dw&gt;=D0+g2width,g2u,IF(dw&lt;=D0,g2sat,(g2u*(dw-D0)+g2sat*(g2width-(dw-D0)))/g2width)),g2eff,IF(dw&gt;=D0+g2width,g2u,IF(dw&lt;=D0,g2sat-gw,(g2u*(dw-D0)+(g2sat-gw)*(g2width-(dw-D0)))/g2width)),g1used,IF(analysis="T",g1ave,g1eff),g2used,IF(analysis="T",g2ave,g2eff),q,g1used*D0,c2*Nc*Fcs*Fcd*Fci+q*Nq*Fqs*Fqd*Fqi+0.5*Bef*g2used*Ny*Fys*Fyd*Fyi)</x:f>
      </x:c>
      <x:c r="I31" s="16" t="e">
        <x:f>H31/Shallow_Input!AB31</x:f>
      </x:c>
      <x:c r="J31" s="16" t="e">
        <x:f>H31*T31</x:f>
      </x:c>
      <x:c r="K31" s="16" t="e">
        <x:f>I31*T31</x:f>
      </x:c>
      <x:c r="L31" s="16" t="e">
        <x:f>G31/(D31*E31)*(1+6*N31/D31+6*O31/E31)</x:f>
      </x:c>
      <x:c r="M31" s="16" t="e">
        <x:f>G31/(D31*E31)*(1-6*N31/D31-6*O31/E31)</x:f>
      </x:c>
      <x:c r="N31" s="16" t="e">
        <x:f>ABS((Shallow_Input!Z31*Shallow_Input!H31*Shallow_Input!I31*MAX(Shallow_Input!F31-Shallow_Input!G31,0)+Shallow_Input!M31)*Shallow_Input!J31+Shallow_Input!P31*Shallow_Input!F31+Shallow_Input!O31)/G31</x:f>
      </x:c>
      <x:c r="O31" s="16" t="e">
        <x:f>ABS(((Shallow_Input!Z31*Shallow_Input!H31*Shallow_Input!I31*MAX(Shallow_Input!F31-Shallow_Input!G31,0)+Shallow_Input!M31)*IF(B31="S",0,Shallow_Input!K31)+Shallow_Input!Q31*Shallow_Input!F31+IF(B31="S",0,Shallow_Input!N31))/G31)</x:f>
      </x:c>
      <x:c r="P31" s="16" t="e">
        <x:f>D31-2*N31</x:f>
      </x:c>
      <x:c r="Q31" s="16" t="e">
        <x:f>E31-2*O31</x:f>
      </x:c>
      <x:c r="R31" s="16" t="e">
        <x:f>MAX(P31,0.000001)</x:f>
      </x:c>
      <x:c r="S31" s="16" t="e">
        <x:f>IF(B31="S",1,MAX(Q31,0.000001))</x:f>
      </x:c>
      <x:c r="T31" s="16" t="e">
        <x:f>R31*S31</x:f>
      </x:c>
      <x:c r="U31" s="16" t="e">
        <x:f>DEGREES(ATAN(SQRT(Shallow_Input!P31^2+Shallow_Input!Q31^2)/G31))</x:f>
      </x:c>
      <x:c r="V31" s="16" t="n">
        <x:f>EXP(PI()*TAN(RADIANS(Shallow_Input!Y31)))*TAN(PI()/4+RADIANS(Shallow_Input!Y31)/2)^2</x:f>
        <x:v>0.9999999999999998</x:v>
      </x:c>
      <x:c r="W31" s="16" t="n">
        <x:f>IF(ABS(TAN(RADIANS(Shallow_Input!Y31)))&gt;0.0000001,(V31-1)/TAN(RADIANS(Shallow_Input!Y31)),5.14)</x:f>
        <x:v>5.14</x:v>
      </x:c>
      <x:c r="X31" s="16" t="n">
        <x:f>2*(V31+1)*TAN(RADIANS(Shallow_Input!Y31))</x:f>
        <x:v>0</x:v>
      </x:c>
      <x:c r="Y31" s="16" t="e">
        <x:f>IF(B31="S",1,1+R31/S31*V31/MAX(W31,0.000001))</x:f>
      </x:c>
      <x:c r="Z31" s="16" t="e">
        <x:f>IF(B31="S",1,1+R31/S31*TAN(RADIANS(Shallow_Input!Y31)))</x:f>
      </x:c>
      <x:c r="AA31" s="16" t="e">
        <x:f>IF(B31="S",1,1-0.4*R31/S31)</x:f>
      </x:c>
      <x:c r="AB31" s="16" t="e">
        <x:f>1+0.4*IF(F31/MAX(R31,0.000001)&lt;=1,F31/MAX(R31,0.000001),ATAN(F31/MAX(R31,0.000001)))</x:f>
      </x:c>
      <x:c r="AC31" s="16" t="e">
        <x:f>1+2*TAN(RADIANS(Shallow_Input!U31))*(1-SIN(RADIANS(Shallow_Input!U31)))^2*IF(F31/MAX(R31,0.000001)&lt;=1,F31/MAX(R31,0.000001),ATAN(F31/MAX(R31,0.000001)))</x:f>
      </x:c>
      <x:c r="AD31" s="16" t="n">
        <x:f>1</x:f>
        <x:v>1</x:v>
      </x:c>
      <x:c r="AE31" s="16" t="e">
        <x:f>(1-U31/90)^2</x:f>
      </x:c>
      <x:c r="AF31" s="16" t="e">
        <x:f>(1-U31/90)^2</x:f>
      </x:c>
      <x:c r="AG31" s="16" t="n">
        <x:f>IF(Shallow_Input!Y31&gt;0,(1-U31/Shallow_Input!Y31)^2,1)</x:f>
        <x:v>1</x:v>
      </x:c>
      <x:c r="AH31" s="16" t="e">
        <x:f>J31/MAX(G31,0.000001)</x:f>
      </x:c>
      <x:c r="AI31" s="16" t="e">
        <x:f>H31/MAX(L31,0.000001)</x:f>
      </x:c>
      <x:c r="AJ31" s="16" t="e">
        <x:f>IF(K31&gt;=G31,"OK","NG")</x:f>
      </x:c>
      <x:c r="AK31" s="16" t="e">
        <x:f>IF(I31&gt;=L31,"OK","NG")</x:f>
      </x:c>
      <x:c r="AL31" s="16" t="e">
        <x:f>IF(M31&gt;=0,"OK","NG")</x:f>
      </x:c>
      <x:c r="AM31" s="16" t="e">
        <x:f>IF(F31/MAX(R31,0.000001)&lt;=1,"Shallow","Deep")</x:f>
      </x:c>
    </x:row>
    <x:row r="32">
      <x:c r="A32" s="16" t="n">
        <x:f>Shallow_Input!A32</x:f>
        <x:v>0</x:v>
      </x:c>
      <x:c r="B32" s="16" t="n">
        <x:f>Shallow_Input!B32</x:f>
        <x:v>0</x:v>
      </x:c>
      <x:c r="C32" s="16" t="n">
        <x:f>Shallow_Input!C32</x:f>
        <x:v>0</x:v>
      </x:c>
      <x:c r="D32" s="16" t="n">
        <x:f>Shallow_Input!D32</x:f>
        <x:v>0</x:v>
      </x:c>
      <x:c r="E32" s="16" t="e">
        <x:f>IF(B32="S",1,Shallow_Input!E32)</x:f>
      </x:c>
      <x:c r="F32" s="16" t="n">
        <x:f>Shallow_Input!F32</x:f>
        <x:v>0</x:v>
      </x:c>
      <x:c r="G32" s="16" t="e">
        <x:f>LET(B0,D32,L0,E32,D0,F32,t,Shallow_Input!G32,Cx,Shallow_Input!H32,Cy,Shallow_Input!I32,Ox,Shallow_Input!J32,Oy,IF(B32="S",0,Shallow_Input!K32),dw,Shallow_Input!L32,Qc,Shallow_Input!M32,g1u,Shallow_Input!R32,g1sat,Shallow_Input!S32,gc,Shallow_Input!Z32,g1ave,IF(dw&gt;=D0,g1u,IF(dw&lt;=0,g1sat,(g1u*dw+g1sat*(D0-dw))/D0)),g1ave*MAX(B0*L0-Cx*Cy,0)*MAX(D0-t,0)+gc*Cx*Cy*MAX(D0-t,0)+t*B0*L0*gc+Qc)</x:f>
      </x:c>
      <x:c r="H32" s="16" t="e">
        <x:f>LET(shape,B32,B0,D32,L0,E32,D0,F32,dw,Shallow_Input!L32,g1u,Shallow_Input!R32,g1sat,Shallow_Input!S32,gw,Shallow_Input!AA32,g2u,Shallow_Input!V32,g2sat,Shallow_Input!W32,analysis,C32,c2,Shallow_Input!X32,phi1,Shallow_Input!U32,phi2,Shallow_Input!Y32,Bef,R32,Nq,V32,Nc,W32,Ny,X32,Fcs,Y32,Fqs,Z32,Fys,AA32,Fcd,AB32,Fqd,AC32,Fyd,AD32,Fci,AE32,Fqi,AF32,Fyi,AG32,g1ave,IF(dw&gt;=D0,g1u,IF(dw&lt;=0,g1sat,(g1u*dw+g1sat*(D0-dw))/D0)),g1eff,IF(dw&gt;=D0,g1u,IF(dw&lt;=0,g1sat-gw,(g1u*dw+(g1sat-gw)*(D0-dw))/D0)),g2width,IF(shape="S",B0,Bef),g2ave,IF(dw&gt;=D0+g2width,g2u,IF(dw&lt;=D0,g2sat,(g2u*(dw-D0)+g2sat*(g2width-(dw-D0)))/g2width)),g2eff,IF(dw&gt;=D0+g2width,g2u,IF(dw&lt;=D0,g2sat-gw,(g2u*(dw-D0)+(g2sat-gw)*(g2width-(dw-D0)))/g2width)),g1used,IF(analysis="T",g1ave,g1eff),g2used,IF(analysis="T",g2ave,g2eff),q,g1used*D0,c2*Nc*Fcs*Fcd*Fci+q*Nq*Fqs*Fqd*Fqi+0.5*Bef*g2used*Ny*Fys*Fyd*Fyi)</x:f>
      </x:c>
      <x:c r="I32" s="16" t="e">
        <x:f>H32/Shallow_Input!AB32</x:f>
      </x:c>
      <x:c r="J32" s="16" t="e">
        <x:f>H32*T32</x:f>
      </x:c>
      <x:c r="K32" s="16" t="e">
        <x:f>I32*T32</x:f>
      </x:c>
      <x:c r="L32" s="16" t="e">
        <x:f>G32/(D32*E32)*(1+6*N32/D32+6*O32/E32)</x:f>
      </x:c>
      <x:c r="M32" s="16" t="e">
        <x:f>G32/(D32*E32)*(1-6*N32/D32-6*O32/E32)</x:f>
      </x:c>
      <x:c r="N32" s="16" t="e">
        <x:f>ABS((Shallow_Input!Z32*Shallow_Input!H32*Shallow_Input!I32*MAX(Shallow_Input!F32-Shallow_Input!G32,0)+Shallow_Input!M32)*Shallow_Input!J32+Shallow_Input!P32*Shallow_Input!F32+Shallow_Input!O32)/G32</x:f>
      </x:c>
      <x:c r="O32" s="16" t="e">
        <x:f>ABS(((Shallow_Input!Z32*Shallow_Input!H32*Shallow_Input!I32*MAX(Shallow_Input!F32-Shallow_Input!G32,0)+Shallow_Input!M32)*IF(B32="S",0,Shallow_Input!K32)+Shallow_Input!Q32*Shallow_Input!F32+IF(B32="S",0,Shallow_Input!N32))/G32)</x:f>
      </x:c>
      <x:c r="P32" s="16" t="e">
        <x:f>D32-2*N32</x:f>
      </x:c>
      <x:c r="Q32" s="16" t="e">
        <x:f>E32-2*O32</x:f>
      </x:c>
      <x:c r="R32" s="16" t="e">
        <x:f>MAX(P32,0.000001)</x:f>
      </x:c>
      <x:c r="S32" s="16" t="e">
        <x:f>IF(B32="S",1,MAX(Q32,0.000001))</x:f>
      </x:c>
      <x:c r="T32" s="16" t="e">
        <x:f>R32*S32</x:f>
      </x:c>
      <x:c r="U32" s="16" t="e">
        <x:f>DEGREES(ATAN(SQRT(Shallow_Input!P32^2+Shallow_Input!Q32^2)/G32))</x:f>
      </x:c>
      <x:c r="V32" s="16" t="n">
        <x:f>EXP(PI()*TAN(RADIANS(Shallow_Input!Y32)))*TAN(PI()/4+RADIANS(Shallow_Input!Y32)/2)^2</x:f>
        <x:v>0.9999999999999998</x:v>
      </x:c>
      <x:c r="W32" s="16" t="n">
        <x:f>IF(ABS(TAN(RADIANS(Shallow_Input!Y32)))&gt;0.0000001,(V32-1)/TAN(RADIANS(Shallow_Input!Y32)),5.14)</x:f>
        <x:v>5.14</x:v>
      </x:c>
      <x:c r="X32" s="16" t="n">
        <x:f>2*(V32+1)*TAN(RADIANS(Shallow_Input!Y32))</x:f>
        <x:v>0</x:v>
      </x:c>
      <x:c r="Y32" s="16" t="e">
        <x:f>IF(B32="S",1,1+R32/S32*V32/MAX(W32,0.000001))</x:f>
      </x:c>
      <x:c r="Z32" s="16" t="e">
        <x:f>IF(B32="S",1,1+R32/S32*TAN(RADIANS(Shallow_Input!Y32)))</x:f>
      </x:c>
      <x:c r="AA32" s="16" t="e">
        <x:f>IF(B32="S",1,1-0.4*R32/S32)</x:f>
      </x:c>
      <x:c r="AB32" s="16" t="e">
        <x:f>1+0.4*IF(F32/MAX(R32,0.000001)&lt;=1,F32/MAX(R32,0.000001),ATAN(F32/MAX(R32,0.000001)))</x:f>
      </x:c>
      <x:c r="AC32" s="16" t="e">
        <x:f>1+2*TAN(RADIANS(Shallow_Input!U32))*(1-SIN(RADIANS(Shallow_Input!U32)))^2*IF(F32/MAX(R32,0.000001)&lt;=1,F32/MAX(R32,0.000001),ATAN(F32/MAX(R32,0.000001)))</x:f>
      </x:c>
      <x:c r="AD32" s="16" t="n">
        <x:f>1</x:f>
        <x:v>1</x:v>
      </x:c>
      <x:c r="AE32" s="16" t="e">
        <x:f>(1-U32/90)^2</x:f>
      </x:c>
      <x:c r="AF32" s="16" t="e">
        <x:f>(1-U32/90)^2</x:f>
      </x:c>
      <x:c r="AG32" s="16" t="n">
        <x:f>IF(Shallow_Input!Y32&gt;0,(1-U32/Shallow_Input!Y32)^2,1)</x:f>
        <x:v>1</x:v>
      </x:c>
      <x:c r="AH32" s="16" t="e">
        <x:f>J32/MAX(G32,0.000001)</x:f>
      </x:c>
      <x:c r="AI32" s="16" t="e">
        <x:f>H32/MAX(L32,0.000001)</x:f>
      </x:c>
      <x:c r="AJ32" s="16" t="e">
        <x:f>IF(K32&gt;=G32,"OK","NG")</x:f>
      </x:c>
      <x:c r="AK32" s="16" t="e">
        <x:f>IF(I32&gt;=L32,"OK","NG")</x:f>
      </x:c>
      <x:c r="AL32" s="16" t="e">
        <x:f>IF(M32&gt;=0,"OK","NG")</x:f>
      </x:c>
      <x:c r="AM32" s="16" t="e">
        <x:f>IF(F32/MAX(R32,0.000001)&lt;=1,"Shallow","Deep")</x:f>
      </x:c>
    </x:row>
    <x:row r="33">
      <x:c r="A33" s="16" t="n">
        <x:f>Shallow_Input!A33</x:f>
        <x:v>0</x:v>
      </x:c>
      <x:c r="B33" s="16" t="n">
        <x:f>Shallow_Input!B33</x:f>
        <x:v>0</x:v>
      </x:c>
      <x:c r="C33" s="16" t="n">
        <x:f>Shallow_Input!C33</x:f>
        <x:v>0</x:v>
      </x:c>
      <x:c r="D33" s="16" t="n">
        <x:f>Shallow_Input!D33</x:f>
        <x:v>0</x:v>
      </x:c>
      <x:c r="E33" s="16" t="e">
        <x:f>IF(B33="S",1,Shallow_Input!E33)</x:f>
      </x:c>
      <x:c r="F33" s="16" t="n">
        <x:f>Shallow_Input!F33</x:f>
        <x:v>0</x:v>
      </x:c>
      <x:c r="G33" s="16" t="e">
        <x:f>LET(B0,D33,L0,E33,D0,F33,t,Shallow_Input!G33,Cx,Shallow_Input!H33,Cy,Shallow_Input!I33,Ox,Shallow_Input!J33,Oy,IF(B33="S",0,Shallow_Input!K33),dw,Shallow_Input!L33,Qc,Shallow_Input!M33,g1u,Shallow_Input!R33,g1sat,Shallow_Input!S33,gc,Shallow_Input!Z33,g1ave,IF(dw&gt;=D0,g1u,IF(dw&lt;=0,g1sat,(g1u*dw+g1sat*(D0-dw))/D0)),g1ave*MAX(B0*L0-Cx*Cy,0)*MAX(D0-t,0)+gc*Cx*Cy*MAX(D0-t,0)+t*B0*L0*gc+Qc)</x:f>
      </x:c>
      <x:c r="H33" s="16" t="e">
        <x:f>LET(shape,B33,B0,D33,L0,E33,D0,F33,dw,Shallow_Input!L33,g1u,Shallow_Input!R33,g1sat,Shallow_Input!S33,gw,Shallow_Input!AA33,g2u,Shallow_Input!V33,g2sat,Shallow_Input!W33,analysis,C33,c2,Shallow_Input!X33,phi1,Shallow_Input!U33,phi2,Shallow_Input!Y33,Bef,R33,Nq,V33,Nc,W33,Ny,X33,Fcs,Y33,Fqs,Z33,Fys,AA33,Fcd,AB33,Fqd,AC33,Fyd,AD33,Fci,AE33,Fqi,AF33,Fyi,AG33,g1ave,IF(dw&gt;=D0,g1u,IF(dw&lt;=0,g1sat,(g1u*dw+g1sat*(D0-dw))/D0)),g1eff,IF(dw&gt;=D0,g1u,IF(dw&lt;=0,g1sat-gw,(g1u*dw+(g1sat-gw)*(D0-dw))/D0)),g2width,IF(shape="S",B0,Bef),g2ave,IF(dw&gt;=D0+g2width,g2u,IF(dw&lt;=D0,g2sat,(g2u*(dw-D0)+g2sat*(g2width-(dw-D0)))/g2width)),g2eff,IF(dw&gt;=D0+g2width,g2u,IF(dw&lt;=D0,g2sat-gw,(g2u*(dw-D0)+(g2sat-gw)*(g2width-(dw-D0)))/g2width)),g1used,IF(analysis="T",g1ave,g1eff),g2used,IF(analysis="T",g2ave,g2eff),q,g1used*D0,c2*Nc*Fcs*Fcd*Fci+q*Nq*Fqs*Fqd*Fqi+0.5*Bef*g2used*Ny*Fys*Fyd*Fyi)</x:f>
      </x:c>
      <x:c r="I33" s="16" t="e">
        <x:f>H33/Shallow_Input!AB33</x:f>
      </x:c>
      <x:c r="J33" s="16" t="e">
        <x:f>H33*T33</x:f>
      </x:c>
      <x:c r="K33" s="16" t="e">
        <x:f>I33*T33</x:f>
      </x:c>
      <x:c r="L33" s="16" t="e">
        <x:f>G33/(D33*E33)*(1+6*N33/D33+6*O33/E33)</x:f>
      </x:c>
      <x:c r="M33" s="16" t="e">
        <x:f>G33/(D33*E33)*(1-6*N33/D33-6*O33/E33)</x:f>
      </x:c>
      <x:c r="N33" s="16" t="e">
        <x:f>ABS((Shallow_Input!Z33*Shallow_Input!H33*Shallow_Input!I33*MAX(Shallow_Input!F33-Shallow_Input!G33,0)+Shallow_Input!M33)*Shallow_Input!J33+Shallow_Input!P33*Shallow_Input!F33+Shallow_Input!O33)/G33</x:f>
      </x:c>
      <x:c r="O33" s="16" t="e">
        <x:f>ABS(((Shallow_Input!Z33*Shallow_Input!H33*Shallow_Input!I33*MAX(Shallow_Input!F33-Shallow_Input!G33,0)+Shallow_Input!M33)*IF(B33="S",0,Shallow_Input!K33)+Shallow_Input!Q33*Shallow_Input!F33+IF(B33="S",0,Shallow_Input!N33))/G33)</x:f>
      </x:c>
      <x:c r="P33" s="16" t="e">
        <x:f>D33-2*N33</x:f>
      </x:c>
      <x:c r="Q33" s="16" t="e">
        <x:f>E33-2*O33</x:f>
      </x:c>
      <x:c r="R33" s="16" t="e">
        <x:f>MAX(P33,0.000001)</x:f>
      </x:c>
      <x:c r="S33" s="16" t="e">
        <x:f>IF(B33="S",1,MAX(Q33,0.000001))</x:f>
      </x:c>
      <x:c r="T33" s="16" t="e">
        <x:f>R33*S33</x:f>
      </x:c>
      <x:c r="U33" s="16" t="e">
        <x:f>DEGREES(ATAN(SQRT(Shallow_Input!P33^2+Shallow_Input!Q33^2)/G33))</x:f>
      </x:c>
      <x:c r="V33" s="16" t="n">
        <x:f>EXP(PI()*TAN(RADIANS(Shallow_Input!Y33)))*TAN(PI()/4+RADIANS(Shallow_Input!Y33)/2)^2</x:f>
        <x:v>0.9999999999999998</x:v>
      </x:c>
      <x:c r="W33" s="16" t="n">
        <x:f>IF(ABS(TAN(RADIANS(Shallow_Input!Y33)))&gt;0.0000001,(V33-1)/TAN(RADIANS(Shallow_Input!Y33)),5.14)</x:f>
        <x:v>5.14</x:v>
      </x:c>
      <x:c r="X33" s="16" t="n">
        <x:f>2*(V33+1)*TAN(RADIANS(Shallow_Input!Y33))</x:f>
        <x:v>0</x:v>
      </x:c>
      <x:c r="Y33" s="16" t="e">
        <x:f>IF(B33="S",1,1+R33/S33*V33/MAX(W33,0.000001))</x:f>
      </x:c>
      <x:c r="Z33" s="16" t="e">
        <x:f>IF(B33="S",1,1+R33/S33*TAN(RADIANS(Shallow_Input!Y33)))</x:f>
      </x:c>
      <x:c r="AA33" s="16" t="e">
        <x:f>IF(B33="S",1,1-0.4*R33/S33)</x:f>
      </x:c>
      <x:c r="AB33" s="16" t="e">
        <x:f>1+0.4*IF(F33/MAX(R33,0.000001)&lt;=1,F33/MAX(R33,0.000001),ATAN(F33/MAX(R33,0.000001)))</x:f>
      </x:c>
      <x:c r="AC33" s="16" t="e">
        <x:f>1+2*TAN(RADIANS(Shallow_Input!U33))*(1-SIN(RADIANS(Shallow_Input!U33)))^2*IF(F33/MAX(R33,0.000001)&lt;=1,F33/MAX(R33,0.000001),ATAN(F33/MAX(R33,0.000001)))</x:f>
      </x:c>
      <x:c r="AD33" s="16" t="n">
        <x:f>1</x:f>
        <x:v>1</x:v>
      </x:c>
      <x:c r="AE33" s="16" t="e">
        <x:f>(1-U33/90)^2</x:f>
      </x:c>
      <x:c r="AF33" s="16" t="e">
        <x:f>(1-U33/90)^2</x:f>
      </x:c>
      <x:c r="AG33" s="16" t="n">
        <x:f>IF(Shallow_Input!Y33&gt;0,(1-U33/Shallow_Input!Y33)^2,1)</x:f>
        <x:v>1</x:v>
      </x:c>
      <x:c r="AH33" s="16" t="e">
        <x:f>J33/MAX(G33,0.000001)</x:f>
      </x:c>
      <x:c r="AI33" s="16" t="e">
        <x:f>H33/MAX(L33,0.000001)</x:f>
      </x:c>
      <x:c r="AJ33" s="16" t="e">
        <x:f>IF(K33&gt;=G33,"OK","NG")</x:f>
      </x:c>
      <x:c r="AK33" s="16" t="e">
        <x:f>IF(I33&gt;=L33,"OK","NG")</x:f>
      </x:c>
      <x:c r="AL33" s="16" t="e">
        <x:f>IF(M33&gt;=0,"OK","NG")</x:f>
      </x:c>
      <x:c r="AM33" s="16" t="e">
        <x:f>IF(F33/MAX(R33,0.000001)&lt;=1,"Shallow","Deep")</x:f>
      </x:c>
    </x:row>
    <x:row r="34">
      <x:c r="A34" s="16" t="n">
        <x:f>Shallow_Input!A34</x:f>
        <x:v>0</x:v>
      </x:c>
      <x:c r="B34" s="16" t="n">
        <x:f>Shallow_Input!B34</x:f>
        <x:v>0</x:v>
      </x:c>
      <x:c r="C34" s="16" t="n">
        <x:f>Shallow_Input!C34</x:f>
        <x:v>0</x:v>
      </x:c>
      <x:c r="D34" s="16" t="n">
        <x:f>Shallow_Input!D34</x:f>
        <x:v>0</x:v>
      </x:c>
      <x:c r="E34" s="16" t="e">
        <x:f>IF(B34="S",1,Shallow_Input!E34)</x:f>
      </x:c>
      <x:c r="F34" s="16" t="n">
        <x:f>Shallow_Input!F34</x:f>
        <x:v>0</x:v>
      </x:c>
      <x:c r="G34" s="16" t="e">
        <x:f>LET(B0,D34,L0,E34,D0,F34,t,Shallow_Input!G34,Cx,Shallow_Input!H34,Cy,Shallow_Input!I34,Ox,Shallow_Input!J34,Oy,IF(B34="S",0,Shallow_Input!K34),dw,Shallow_Input!L34,Qc,Shallow_Input!M34,g1u,Shallow_Input!R34,g1sat,Shallow_Input!S34,gc,Shallow_Input!Z34,g1ave,IF(dw&gt;=D0,g1u,IF(dw&lt;=0,g1sat,(g1u*dw+g1sat*(D0-dw))/D0)),g1ave*MAX(B0*L0-Cx*Cy,0)*MAX(D0-t,0)+gc*Cx*Cy*MAX(D0-t,0)+t*B0*L0*gc+Qc)</x:f>
      </x:c>
      <x:c r="H34" s="16" t="e">
        <x:f>LET(shape,B34,B0,D34,L0,E34,D0,F34,dw,Shallow_Input!L34,g1u,Shallow_Input!R34,g1sat,Shallow_Input!S34,gw,Shallow_Input!AA34,g2u,Shallow_Input!V34,g2sat,Shallow_Input!W34,analysis,C34,c2,Shallow_Input!X34,phi1,Shallow_Input!U34,phi2,Shallow_Input!Y34,Bef,R34,Nq,V34,Nc,W34,Ny,X34,Fcs,Y34,Fqs,Z34,Fys,AA34,Fcd,AB34,Fqd,AC34,Fyd,AD34,Fci,AE34,Fqi,AF34,Fyi,AG34,g1ave,IF(dw&gt;=D0,g1u,IF(dw&lt;=0,g1sat,(g1u*dw+g1sat*(D0-dw))/D0)),g1eff,IF(dw&gt;=D0,g1u,IF(dw&lt;=0,g1sat-gw,(g1u*dw+(g1sat-gw)*(D0-dw))/D0)),g2width,IF(shape="S",B0,Bef),g2ave,IF(dw&gt;=D0+g2width,g2u,IF(dw&lt;=D0,g2sat,(g2u*(dw-D0)+g2sat*(g2width-(dw-D0)))/g2width)),g2eff,IF(dw&gt;=D0+g2width,g2u,IF(dw&lt;=D0,g2sat-gw,(g2u*(dw-D0)+(g2sat-gw)*(g2width-(dw-D0)))/g2width)),g1used,IF(analysis="T",g1ave,g1eff),g2used,IF(analysis="T",g2ave,g2eff),q,g1used*D0,c2*Nc*Fcs*Fcd*Fci+q*Nq*Fqs*Fqd*Fqi+0.5*Bef*g2used*Ny*Fys*Fyd*Fyi)</x:f>
      </x:c>
      <x:c r="I34" s="16" t="e">
        <x:f>H34/Shallow_Input!AB34</x:f>
      </x:c>
      <x:c r="J34" s="16" t="e">
        <x:f>H34*T34</x:f>
      </x:c>
      <x:c r="K34" s="16" t="e">
        <x:f>I34*T34</x:f>
      </x:c>
      <x:c r="L34" s="16" t="e">
        <x:f>G34/(D34*E34)*(1+6*N34/D34+6*O34/E34)</x:f>
      </x:c>
      <x:c r="M34" s="16" t="e">
        <x:f>G34/(D34*E34)*(1-6*N34/D34-6*O34/E34)</x:f>
      </x:c>
      <x:c r="N34" s="16" t="e">
        <x:f>ABS((Shallow_Input!Z34*Shallow_Input!H34*Shallow_Input!I34*MAX(Shallow_Input!F34-Shallow_Input!G34,0)+Shallow_Input!M34)*Shallow_Input!J34+Shallow_Input!P34*Shallow_Input!F34+Shallow_Input!O34)/G34</x:f>
      </x:c>
      <x:c r="O34" s="16" t="e">
        <x:f>ABS(((Shallow_Input!Z34*Shallow_Input!H34*Shallow_Input!I34*MAX(Shallow_Input!F34-Shallow_Input!G34,0)+Shallow_Input!M34)*IF(B34="S",0,Shallow_Input!K34)+Shallow_Input!Q34*Shallow_Input!F34+IF(B34="S",0,Shallow_Input!N34))/G34)</x:f>
      </x:c>
      <x:c r="P34" s="16" t="e">
        <x:f>D34-2*N34</x:f>
      </x:c>
      <x:c r="Q34" s="16" t="e">
        <x:f>E34-2*O34</x:f>
      </x:c>
      <x:c r="R34" s="16" t="e">
        <x:f>MAX(P34,0.000001)</x:f>
      </x:c>
      <x:c r="S34" s="16" t="e">
        <x:f>IF(B34="S",1,MAX(Q34,0.000001))</x:f>
      </x:c>
      <x:c r="T34" s="16" t="e">
        <x:f>R34*S34</x:f>
      </x:c>
      <x:c r="U34" s="16" t="e">
        <x:f>DEGREES(ATAN(SQRT(Shallow_Input!P34^2+Shallow_Input!Q34^2)/G34))</x:f>
      </x:c>
      <x:c r="V34" s="16" t="n">
        <x:f>EXP(PI()*TAN(RADIANS(Shallow_Input!Y34)))*TAN(PI()/4+RADIANS(Shallow_Input!Y34)/2)^2</x:f>
        <x:v>0.9999999999999998</x:v>
      </x:c>
      <x:c r="W34" s="16" t="n">
        <x:f>IF(ABS(TAN(RADIANS(Shallow_Input!Y34)))&gt;0.0000001,(V34-1)/TAN(RADIANS(Shallow_Input!Y34)),5.14)</x:f>
        <x:v>5.14</x:v>
      </x:c>
      <x:c r="X34" s="16" t="n">
        <x:f>2*(V34+1)*TAN(RADIANS(Shallow_Input!Y34))</x:f>
        <x:v>0</x:v>
      </x:c>
      <x:c r="Y34" s="16" t="e">
        <x:f>IF(B34="S",1,1+R34/S34*V34/MAX(W34,0.000001))</x:f>
      </x:c>
      <x:c r="Z34" s="16" t="e">
        <x:f>IF(B34="S",1,1+R34/S34*TAN(RADIANS(Shallow_Input!Y34)))</x:f>
      </x:c>
      <x:c r="AA34" s="16" t="e">
        <x:f>IF(B34="S",1,1-0.4*R34/S34)</x:f>
      </x:c>
      <x:c r="AB34" s="16" t="e">
        <x:f>1+0.4*IF(F34/MAX(R34,0.000001)&lt;=1,F34/MAX(R34,0.000001),ATAN(F34/MAX(R34,0.000001)))</x:f>
      </x:c>
      <x:c r="AC34" s="16" t="e">
        <x:f>1+2*TAN(RADIANS(Shallow_Input!U34))*(1-SIN(RADIANS(Shallow_Input!U34)))^2*IF(F34/MAX(R34,0.000001)&lt;=1,F34/MAX(R34,0.000001),ATAN(F34/MAX(R34,0.000001)))</x:f>
      </x:c>
      <x:c r="AD34" s="16" t="n">
        <x:f>1</x:f>
        <x:v>1</x:v>
      </x:c>
      <x:c r="AE34" s="16" t="e">
        <x:f>(1-U34/90)^2</x:f>
      </x:c>
      <x:c r="AF34" s="16" t="e">
        <x:f>(1-U34/90)^2</x:f>
      </x:c>
      <x:c r="AG34" s="16" t="n">
        <x:f>IF(Shallow_Input!Y34&gt;0,(1-U34/Shallow_Input!Y34)^2,1)</x:f>
        <x:v>1</x:v>
      </x:c>
      <x:c r="AH34" s="16" t="e">
        <x:f>J34/MAX(G34,0.000001)</x:f>
      </x:c>
      <x:c r="AI34" s="16" t="e">
        <x:f>H34/MAX(L34,0.000001)</x:f>
      </x:c>
      <x:c r="AJ34" s="16" t="e">
        <x:f>IF(K34&gt;=G34,"OK","NG")</x:f>
      </x:c>
      <x:c r="AK34" s="16" t="e">
        <x:f>IF(I34&gt;=L34,"OK","NG")</x:f>
      </x:c>
      <x:c r="AL34" s="16" t="e">
        <x:f>IF(M34&gt;=0,"OK","NG")</x:f>
      </x:c>
      <x:c r="AM34" s="16" t="e">
        <x:f>IF(F34/MAX(R34,0.000001)&lt;=1,"Shallow","Deep")</x:f>
      </x:c>
    </x:row>
    <x:row r="35">
      <x:c r="A35" s="16" t="n">
        <x:f>Shallow_Input!A35</x:f>
        <x:v>0</x:v>
      </x:c>
      <x:c r="B35" s="16" t="n">
        <x:f>Shallow_Input!B35</x:f>
        <x:v>0</x:v>
      </x:c>
      <x:c r="C35" s="16" t="n">
        <x:f>Shallow_Input!C35</x:f>
        <x:v>0</x:v>
      </x:c>
      <x:c r="D35" s="16" t="n">
        <x:f>Shallow_Input!D35</x:f>
        <x:v>0</x:v>
      </x:c>
      <x:c r="E35" s="16" t="e">
        <x:f>IF(B35="S",1,Shallow_Input!E35)</x:f>
      </x:c>
      <x:c r="F35" s="16" t="n">
        <x:f>Shallow_Input!F35</x:f>
        <x:v>0</x:v>
      </x:c>
      <x:c r="G35" s="16" t="e">
        <x:f>LET(B0,D35,L0,E35,D0,F35,t,Shallow_Input!G35,Cx,Shallow_Input!H35,Cy,Shallow_Input!I35,Ox,Shallow_Input!J35,Oy,IF(B35="S",0,Shallow_Input!K35),dw,Shallow_Input!L35,Qc,Shallow_Input!M35,g1u,Shallow_Input!R35,g1sat,Shallow_Input!S35,gc,Shallow_Input!Z35,g1ave,IF(dw&gt;=D0,g1u,IF(dw&lt;=0,g1sat,(g1u*dw+g1sat*(D0-dw))/D0)),g1ave*MAX(B0*L0-Cx*Cy,0)*MAX(D0-t,0)+gc*Cx*Cy*MAX(D0-t,0)+t*B0*L0*gc+Qc)</x:f>
      </x:c>
      <x:c r="H35" s="16" t="e">
        <x:f>LET(shape,B35,B0,D35,L0,E35,D0,F35,dw,Shallow_Input!L35,g1u,Shallow_Input!R35,g1sat,Shallow_Input!S35,gw,Shallow_Input!AA35,g2u,Shallow_Input!V35,g2sat,Shallow_Input!W35,analysis,C35,c2,Shallow_Input!X35,phi1,Shallow_Input!U35,phi2,Shallow_Input!Y35,Bef,R35,Nq,V35,Nc,W35,Ny,X35,Fcs,Y35,Fqs,Z35,Fys,AA35,Fcd,AB35,Fqd,AC35,Fyd,AD35,Fci,AE35,Fqi,AF35,Fyi,AG35,g1ave,IF(dw&gt;=D0,g1u,IF(dw&lt;=0,g1sat,(g1u*dw+g1sat*(D0-dw))/D0)),g1eff,IF(dw&gt;=D0,g1u,IF(dw&lt;=0,g1sat-gw,(g1u*dw+(g1sat-gw)*(D0-dw))/D0)),g2width,IF(shape="S",B0,Bef),g2ave,IF(dw&gt;=D0+g2width,g2u,IF(dw&lt;=D0,g2sat,(g2u*(dw-D0)+g2sat*(g2width-(dw-D0)))/g2width)),g2eff,IF(dw&gt;=D0+g2width,g2u,IF(dw&lt;=D0,g2sat-gw,(g2u*(dw-D0)+(g2sat-gw)*(g2width-(dw-D0)))/g2width)),g1used,IF(analysis="T",g1ave,g1eff),g2used,IF(analysis="T",g2ave,g2eff),q,g1used*D0,c2*Nc*Fcs*Fcd*Fci+q*Nq*Fqs*Fqd*Fqi+0.5*Bef*g2used*Ny*Fys*Fyd*Fyi)</x:f>
      </x:c>
      <x:c r="I35" s="16" t="e">
        <x:f>H35/Shallow_Input!AB35</x:f>
      </x:c>
      <x:c r="J35" s="16" t="e">
        <x:f>H35*T35</x:f>
      </x:c>
      <x:c r="K35" s="16" t="e">
        <x:f>I35*T35</x:f>
      </x:c>
      <x:c r="L35" s="16" t="e">
        <x:f>G35/(D35*E35)*(1+6*N35/D35+6*O35/E35)</x:f>
      </x:c>
      <x:c r="M35" s="16" t="e">
        <x:f>G35/(D35*E35)*(1-6*N35/D35-6*O35/E35)</x:f>
      </x:c>
      <x:c r="N35" s="16" t="e">
        <x:f>ABS((Shallow_Input!Z35*Shallow_Input!H35*Shallow_Input!I35*MAX(Shallow_Input!F35-Shallow_Input!G35,0)+Shallow_Input!M35)*Shallow_Input!J35+Shallow_Input!P35*Shallow_Input!F35+Shallow_Input!O35)/G35</x:f>
      </x:c>
      <x:c r="O35" s="16" t="e">
        <x:f>ABS(((Shallow_Input!Z35*Shallow_Input!H35*Shallow_Input!I35*MAX(Shallow_Input!F35-Shallow_Input!G35,0)+Shallow_Input!M35)*IF(B35="S",0,Shallow_Input!K35)+Shallow_Input!Q35*Shallow_Input!F35+IF(B35="S",0,Shallow_Input!N35))/G35)</x:f>
      </x:c>
      <x:c r="P35" s="16" t="e">
        <x:f>D35-2*N35</x:f>
      </x:c>
      <x:c r="Q35" s="16" t="e">
        <x:f>E35-2*O35</x:f>
      </x:c>
      <x:c r="R35" s="16" t="e">
        <x:f>MAX(P35,0.000001)</x:f>
      </x:c>
      <x:c r="S35" s="16" t="e">
        <x:f>IF(B35="S",1,MAX(Q35,0.000001))</x:f>
      </x:c>
      <x:c r="T35" s="16" t="e">
        <x:f>R35*S35</x:f>
      </x:c>
      <x:c r="U35" s="16" t="e">
        <x:f>DEGREES(ATAN(SQRT(Shallow_Input!P35^2+Shallow_Input!Q35^2)/G35))</x:f>
      </x:c>
      <x:c r="V35" s="16" t="n">
        <x:f>EXP(PI()*TAN(RADIANS(Shallow_Input!Y35)))*TAN(PI()/4+RADIANS(Shallow_Input!Y35)/2)^2</x:f>
        <x:v>0.9999999999999998</x:v>
      </x:c>
      <x:c r="W35" s="16" t="n">
        <x:f>IF(ABS(TAN(RADIANS(Shallow_Input!Y35)))&gt;0.0000001,(V35-1)/TAN(RADIANS(Shallow_Input!Y35)),5.14)</x:f>
        <x:v>5.14</x:v>
      </x:c>
      <x:c r="X35" s="16" t="n">
        <x:f>2*(V35+1)*TAN(RADIANS(Shallow_Input!Y35))</x:f>
        <x:v>0</x:v>
      </x:c>
      <x:c r="Y35" s="16" t="e">
        <x:f>IF(B35="S",1,1+R35/S35*V35/MAX(W35,0.000001))</x:f>
      </x:c>
      <x:c r="Z35" s="16" t="e">
        <x:f>IF(B35="S",1,1+R35/S35*TAN(RADIANS(Shallow_Input!Y35)))</x:f>
      </x:c>
      <x:c r="AA35" s="16" t="e">
        <x:f>IF(B35="S",1,1-0.4*R35/S35)</x:f>
      </x:c>
      <x:c r="AB35" s="16" t="e">
        <x:f>1+0.4*IF(F35/MAX(R35,0.000001)&lt;=1,F35/MAX(R35,0.000001),ATAN(F35/MAX(R35,0.000001)))</x:f>
      </x:c>
      <x:c r="AC35" s="16" t="e">
        <x:f>1+2*TAN(RADIANS(Shallow_Input!U35))*(1-SIN(RADIANS(Shallow_Input!U35)))^2*IF(F35/MAX(R35,0.000001)&lt;=1,F35/MAX(R35,0.000001),ATAN(F35/MAX(R35,0.000001)))</x:f>
      </x:c>
      <x:c r="AD35" s="16" t="n">
        <x:f>1</x:f>
        <x:v>1</x:v>
      </x:c>
      <x:c r="AE35" s="16" t="e">
        <x:f>(1-U35/90)^2</x:f>
      </x:c>
      <x:c r="AF35" s="16" t="e">
        <x:f>(1-U35/90)^2</x:f>
      </x:c>
      <x:c r="AG35" s="16" t="n">
        <x:f>IF(Shallow_Input!Y35&gt;0,(1-U35/Shallow_Input!Y35)^2,1)</x:f>
        <x:v>1</x:v>
      </x:c>
      <x:c r="AH35" s="16" t="e">
        <x:f>J35/MAX(G35,0.000001)</x:f>
      </x:c>
      <x:c r="AI35" s="16" t="e">
        <x:f>H35/MAX(L35,0.000001)</x:f>
      </x:c>
      <x:c r="AJ35" s="16" t="e">
        <x:f>IF(K35&gt;=G35,"OK","NG")</x:f>
      </x:c>
      <x:c r="AK35" s="16" t="e">
        <x:f>IF(I35&gt;=L35,"OK","NG")</x:f>
      </x:c>
      <x:c r="AL35" s="16" t="e">
        <x:f>IF(M35&gt;=0,"OK","NG")</x:f>
      </x:c>
      <x:c r="AM35" s="16" t="e">
        <x:f>IF(F35/MAX(R35,0.000001)&lt;=1,"Shallow","Deep")</x:f>
      </x:c>
    </x:row>
    <x:row r="36">
      <x:c r="A36" s="16" t="n">
        <x:f>Shallow_Input!A36</x:f>
        <x:v>0</x:v>
      </x:c>
      <x:c r="B36" s="16" t="n">
        <x:f>Shallow_Input!B36</x:f>
        <x:v>0</x:v>
      </x:c>
      <x:c r="C36" s="16" t="n">
        <x:f>Shallow_Input!C36</x:f>
        <x:v>0</x:v>
      </x:c>
      <x:c r="D36" s="16" t="n">
        <x:f>Shallow_Input!D36</x:f>
        <x:v>0</x:v>
      </x:c>
      <x:c r="E36" s="16" t="e">
        <x:f>IF(B36="S",1,Shallow_Input!E36)</x:f>
      </x:c>
      <x:c r="F36" s="16" t="n">
        <x:f>Shallow_Input!F36</x:f>
        <x:v>0</x:v>
      </x:c>
      <x:c r="G36" s="16" t="e">
        <x:f>LET(B0,D36,L0,E36,D0,F36,t,Shallow_Input!G36,Cx,Shallow_Input!H36,Cy,Shallow_Input!I36,Ox,Shallow_Input!J36,Oy,IF(B36="S",0,Shallow_Input!K36),dw,Shallow_Input!L36,Qc,Shallow_Input!M36,g1u,Shallow_Input!R36,g1sat,Shallow_Input!S36,gc,Shallow_Input!Z36,g1ave,IF(dw&gt;=D0,g1u,IF(dw&lt;=0,g1sat,(g1u*dw+g1sat*(D0-dw))/D0)),g1ave*MAX(B0*L0-Cx*Cy,0)*MAX(D0-t,0)+gc*Cx*Cy*MAX(D0-t,0)+t*B0*L0*gc+Qc)</x:f>
      </x:c>
      <x:c r="H36" s="16" t="e">
        <x:f>LET(shape,B36,B0,D36,L0,E36,D0,F36,dw,Shallow_Input!L36,g1u,Shallow_Input!R36,g1sat,Shallow_Input!S36,gw,Shallow_Input!AA36,g2u,Shallow_Input!V36,g2sat,Shallow_Input!W36,analysis,C36,c2,Shallow_Input!X36,phi1,Shallow_Input!U36,phi2,Shallow_Input!Y36,Bef,R36,Nq,V36,Nc,W36,Ny,X36,Fcs,Y36,Fqs,Z36,Fys,AA36,Fcd,AB36,Fqd,AC36,Fyd,AD36,Fci,AE36,Fqi,AF36,Fyi,AG36,g1ave,IF(dw&gt;=D0,g1u,IF(dw&lt;=0,g1sat,(g1u*dw+g1sat*(D0-dw))/D0)),g1eff,IF(dw&gt;=D0,g1u,IF(dw&lt;=0,g1sat-gw,(g1u*dw+(g1sat-gw)*(D0-dw))/D0)),g2width,IF(shape="S",B0,Bef),g2ave,IF(dw&gt;=D0+g2width,g2u,IF(dw&lt;=D0,g2sat,(g2u*(dw-D0)+g2sat*(g2width-(dw-D0)))/g2width)),g2eff,IF(dw&gt;=D0+g2width,g2u,IF(dw&lt;=D0,g2sat-gw,(g2u*(dw-D0)+(g2sat-gw)*(g2width-(dw-D0)))/g2width)),g1used,IF(analysis="T",g1ave,g1eff),g2used,IF(analysis="T",g2ave,g2eff),q,g1used*D0,c2*Nc*Fcs*Fcd*Fci+q*Nq*Fqs*Fqd*Fqi+0.5*Bef*g2used*Ny*Fys*Fyd*Fyi)</x:f>
      </x:c>
      <x:c r="I36" s="16" t="e">
        <x:f>H36/Shallow_Input!AB36</x:f>
      </x:c>
      <x:c r="J36" s="16" t="e">
        <x:f>H36*T36</x:f>
      </x:c>
      <x:c r="K36" s="16" t="e">
        <x:f>I36*T36</x:f>
      </x:c>
      <x:c r="L36" s="16" t="e">
        <x:f>G36/(D36*E36)*(1+6*N36/D36+6*O36/E36)</x:f>
      </x:c>
      <x:c r="M36" s="16" t="e">
        <x:f>G36/(D36*E36)*(1-6*N36/D36-6*O36/E36)</x:f>
      </x:c>
      <x:c r="N36" s="16" t="e">
        <x:f>ABS((Shallow_Input!Z36*Shallow_Input!H36*Shallow_Input!I36*MAX(Shallow_Input!F36-Shallow_Input!G36,0)+Shallow_Input!M36)*Shallow_Input!J36+Shallow_Input!P36*Shallow_Input!F36+Shallow_Input!O36)/G36</x:f>
      </x:c>
      <x:c r="O36" s="16" t="e">
        <x:f>ABS(((Shallow_Input!Z36*Shallow_Input!H36*Shallow_Input!I36*MAX(Shallow_Input!F36-Shallow_Input!G36,0)+Shallow_Input!M36)*IF(B36="S",0,Shallow_Input!K36)+Shallow_Input!Q36*Shallow_Input!F36+IF(B36="S",0,Shallow_Input!N36))/G36)</x:f>
      </x:c>
      <x:c r="P36" s="16" t="e">
        <x:f>D36-2*N36</x:f>
      </x:c>
      <x:c r="Q36" s="16" t="e">
        <x:f>E36-2*O36</x:f>
      </x:c>
      <x:c r="R36" s="16" t="e">
        <x:f>MAX(P36,0.000001)</x:f>
      </x:c>
      <x:c r="S36" s="16" t="e">
        <x:f>IF(B36="S",1,MAX(Q36,0.000001))</x:f>
      </x:c>
      <x:c r="T36" s="16" t="e">
        <x:f>R36*S36</x:f>
      </x:c>
      <x:c r="U36" s="16" t="e">
        <x:f>DEGREES(ATAN(SQRT(Shallow_Input!P36^2+Shallow_Input!Q36^2)/G36))</x:f>
      </x:c>
      <x:c r="V36" s="16" t="n">
        <x:f>EXP(PI()*TAN(RADIANS(Shallow_Input!Y36)))*TAN(PI()/4+RADIANS(Shallow_Input!Y36)/2)^2</x:f>
        <x:v>0.9999999999999998</x:v>
      </x:c>
      <x:c r="W36" s="16" t="n">
        <x:f>IF(ABS(TAN(RADIANS(Shallow_Input!Y36)))&gt;0.0000001,(V36-1)/TAN(RADIANS(Shallow_Input!Y36)),5.14)</x:f>
        <x:v>5.14</x:v>
      </x:c>
      <x:c r="X36" s="16" t="n">
        <x:f>2*(V36+1)*TAN(RADIANS(Shallow_Input!Y36))</x:f>
        <x:v>0</x:v>
      </x:c>
      <x:c r="Y36" s="16" t="e">
        <x:f>IF(B36="S",1,1+R36/S36*V36/MAX(W36,0.000001))</x:f>
      </x:c>
      <x:c r="Z36" s="16" t="e">
        <x:f>IF(B36="S",1,1+R36/S36*TAN(RADIANS(Shallow_Input!Y36)))</x:f>
      </x:c>
      <x:c r="AA36" s="16" t="e">
        <x:f>IF(B36="S",1,1-0.4*R36/S36)</x:f>
      </x:c>
      <x:c r="AB36" s="16" t="e">
        <x:f>1+0.4*IF(F36/MAX(R36,0.000001)&lt;=1,F36/MAX(R36,0.000001),ATAN(F36/MAX(R36,0.000001)))</x:f>
      </x:c>
      <x:c r="AC36" s="16" t="e">
        <x:f>1+2*TAN(RADIANS(Shallow_Input!U36))*(1-SIN(RADIANS(Shallow_Input!U36)))^2*IF(F36/MAX(R36,0.000001)&lt;=1,F36/MAX(R36,0.000001),ATAN(F36/MAX(R36,0.000001)))</x:f>
      </x:c>
      <x:c r="AD36" s="16" t="n">
        <x:f>1</x:f>
        <x:v>1</x:v>
      </x:c>
      <x:c r="AE36" s="16" t="e">
        <x:f>(1-U36/90)^2</x:f>
      </x:c>
      <x:c r="AF36" s="16" t="e">
        <x:f>(1-U36/90)^2</x:f>
      </x:c>
      <x:c r="AG36" s="16" t="n">
        <x:f>IF(Shallow_Input!Y36&gt;0,(1-U36/Shallow_Input!Y36)^2,1)</x:f>
        <x:v>1</x:v>
      </x:c>
      <x:c r="AH36" s="16" t="e">
        <x:f>J36/MAX(G36,0.000001)</x:f>
      </x:c>
      <x:c r="AI36" s="16" t="e">
        <x:f>H36/MAX(L36,0.000001)</x:f>
      </x:c>
      <x:c r="AJ36" s="16" t="e">
        <x:f>IF(K36&gt;=G36,"OK","NG")</x:f>
      </x:c>
      <x:c r="AK36" s="16" t="e">
        <x:f>IF(I36&gt;=L36,"OK","NG")</x:f>
      </x:c>
      <x:c r="AL36" s="16" t="e">
        <x:f>IF(M36&gt;=0,"OK","NG")</x:f>
      </x:c>
      <x:c r="AM36" s="16" t="e">
        <x:f>IF(F36/MAX(R36,0.000001)&lt;=1,"Shallow","Deep")</x:f>
      </x:c>
    </x:row>
    <x:row r="37">
      <x:c r="A37" s="16" t="n">
        <x:f>Shallow_Input!A37</x:f>
        <x:v>0</x:v>
      </x:c>
      <x:c r="B37" s="16" t="n">
        <x:f>Shallow_Input!B37</x:f>
        <x:v>0</x:v>
      </x:c>
      <x:c r="C37" s="16" t="n">
        <x:f>Shallow_Input!C37</x:f>
        <x:v>0</x:v>
      </x:c>
      <x:c r="D37" s="16" t="n">
        <x:f>Shallow_Input!D37</x:f>
        <x:v>0</x:v>
      </x:c>
      <x:c r="E37" s="16" t="e">
        <x:f>IF(B37="S",1,Shallow_Input!E37)</x:f>
      </x:c>
      <x:c r="F37" s="16" t="n">
        <x:f>Shallow_Input!F37</x:f>
        <x:v>0</x:v>
      </x:c>
      <x:c r="G37" s="16" t="e">
        <x:f>LET(B0,D37,L0,E37,D0,F37,t,Shallow_Input!G37,Cx,Shallow_Input!H37,Cy,Shallow_Input!I37,Ox,Shallow_Input!J37,Oy,IF(B37="S",0,Shallow_Input!K37),dw,Shallow_Input!L37,Qc,Shallow_Input!M37,g1u,Shallow_Input!R37,g1sat,Shallow_Input!S37,gc,Shallow_Input!Z37,g1ave,IF(dw&gt;=D0,g1u,IF(dw&lt;=0,g1sat,(g1u*dw+g1sat*(D0-dw))/D0)),g1ave*MAX(B0*L0-Cx*Cy,0)*MAX(D0-t,0)+gc*Cx*Cy*MAX(D0-t,0)+t*B0*L0*gc+Qc)</x:f>
      </x:c>
      <x:c r="H37" s="16" t="e">
        <x:f>LET(shape,B37,B0,D37,L0,E37,D0,F37,dw,Shallow_Input!L37,g1u,Shallow_Input!R37,g1sat,Shallow_Input!S37,gw,Shallow_Input!AA37,g2u,Shallow_Input!V37,g2sat,Shallow_Input!W37,analysis,C37,c2,Shallow_Input!X37,phi1,Shallow_Input!U37,phi2,Shallow_Input!Y37,Bef,R37,Nq,V37,Nc,W37,Ny,X37,Fcs,Y37,Fqs,Z37,Fys,AA37,Fcd,AB37,Fqd,AC37,Fyd,AD37,Fci,AE37,Fqi,AF37,Fyi,AG37,g1ave,IF(dw&gt;=D0,g1u,IF(dw&lt;=0,g1sat,(g1u*dw+g1sat*(D0-dw))/D0)),g1eff,IF(dw&gt;=D0,g1u,IF(dw&lt;=0,g1sat-gw,(g1u*dw+(g1sat-gw)*(D0-dw))/D0)),g2width,IF(shape="S",B0,Bef),g2ave,IF(dw&gt;=D0+g2width,g2u,IF(dw&lt;=D0,g2sat,(g2u*(dw-D0)+g2sat*(g2width-(dw-D0)))/g2width)),g2eff,IF(dw&gt;=D0+g2width,g2u,IF(dw&lt;=D0,g2sat-gw,(g2u*(dw-D0)+(g2sat-gw)*(g2width-(dw-D0)))/g2width)),g1used,IF(analysis="T",g1ave,g1eff),g2used,IF(analysis="T",g2ave,g2eff),q,g1used*D0,c2*Nc*Fcs*Fcd*Fci+q*Nq*Fqs*Fqd*Fqi+0.5*Bef*g2used*Ny*Fys*Fyd*Fyi)</x:f>
      </x:c>
      <x:c r="I37" s="16" t="e">
        <x:f>H37/Shallow_Input!AB37</x:f>
      </x:c>
      <x:c r="J37" s="16" t="e">
        <x:f>H37*T37</x:f>
      </x:c>
      <x:c r="K37" s="16" t="e">
        <x:f>I37*T37</x:f>
      </x:c>
      <x:c r="L37" s="16" t="e">
        <x:f>G37/(D37*E37)*(1+6*N37/D37+6*O37/E37)</x:f>
      </x:c>
      <x:c r="M37" s="16" t="e">
        <x:f>G37/(D37*E37)*(1-6*N37/D37-6*O37/E37)</x:f>
      </x:c>
      <x:c r="N37" s="16" t="e">
        <x:f>ABS((Shallow_Input!Z37*Shallow_Input!H37*Shallow_Input!I37*MAX(Shallow_Input!F37-Shallow_Input!G37,0)+Shallow_Input!M37)*Shallow_Input!J37+Shallow_Input!P37*Shallow_Input!F37+Shallow_Input!O37)/G37</x:f>
      </x:c>
      <x:c r="O37" s="16" t="e">
        <x:f>ABS(((Shallow_Input!Z37*Shallow_Input!H37*Shallow_Input!I37*MAX(Shallow_Input!F37-Shallow_Input!G37,0)+Shallow_Input!M37)*IF(B37="S",0,Shallow_Input!K37)+Shallow_Input!Q37*Shallow_Input!F37+IF(B37="S",0,Shallow_Input!N37))/G37)</x:f>
      </x:c>
      <x:c r="P37" s="16" t="e">
        <x:f>D37-2*N37</x:f>
      </x:c>
      <x:c r="Q37" s="16" t="e">
        <x:f>E37-2*O37</x:f>
      </x:c>
      <x:c r="R37" s="16" t="e">
        <x:f>MAX(P37,0.000001)</x:f>
      </x:c>
      <x:c r="S37" s="16" t="e">
        <x:f>IF(B37="S",1,MAX(Q37,0.000001))</x:f>
      </x:c>
      <x:c r="T37" s="16" t="e">
        <x:f>R37*S37</x:f>
      </x:c>
      <x:c r="U37" s="16" t="e">
        <x:f>DEGREES(ATAN(SQRT(Shallow_Input!P37^2+Shallow_Input!Q37^2)/G37))</x:f>
      </x:c>
      <x:c r="V37" s="16" t="n">
        <x:f>EXP(PI()*TAN(RADIANS(Shallow_Input!Y37)))*TAN(PI()/4+RADIANS(Shallow_Input!Y37)/2)^2</x:f>
        <x:v>0.9999999999999998</x:v>
      </x:c>
      <x:c r="W37" s="16" t="n">
        <x:f>IF(ABS(TAN(RADIANS(Shallow_Input!Y37)))&gt;0.0000001,(V37-1)/TAN(RADIANS(Shallow_Input!Y37)),5.14)</x:f>
        <x:v>5.14</x:v>
      </x:c>
      <x:c r="X37" s="16" t="n">
        <x:f>2*(V37+1)*TAN(RADIANS(Shallow_Input!Y37))</x:f>
        <x:v>0</x:v>
      </x:c>
      <x:c r="Y37" s="16" t="e">
        <x:f>IF(B37="S",1,1+R37/S37*V37/MAX(W37,0.000001))</x:f>
      </x:c>
      <x:c r="Z37" s="16" t="e">
        <x:f>IF(B37="S",1,1+R37/S37*TAN(RADIANS(Shallow_Input!Y37)))</x:f>
      </x:c>
      <x:c r="AA37" s="16" t="e">
        <x:f>IF(B37="S",1,1-0.4*R37/S37)</x:f>
      </x:c>
      <x:c r="AB37" s="16" t="e">
        <x:f>1+0.4*IF(F37/MAX(R37,0.000001)&lt;=1,F37/MAX(R37,0.000001),ATAN(F37/MAX(R37,0.000001)))</x:f>
      </x:c>
      <x:c r="AC37" s="16" t="e">
        <x:f>1+2*TAN(RADIANS(Shallow_Input!U37))*(1-SIN(RADIANS(Shallow_Input!U37)))^2*IF(F37/MAX(R37,0.000001)&lt;=1,F37/MAX(R37,0.000001),ATAN(F37/MAX(R37,0.000001)))</x:f>
      </x:c>
      <x:c r="AD37" s="16" t="n">
        <x:f>1</x:f>
        <x:v>1</x:v>
      </x:c>
      <x:c r="AE37" s="16" t="e">
        <x:f>(1-U37/90)^2</x:f>
      </x:c>
      <x:c r="AF37" s="16" t="e">
        <x:f>(1-U37/90)^2</x:f>
      </x:c>
      <x:c r="AG37" s="16" t="n">
        <x:f>IF(Shallow_Input!Y37&gt;0,(1-U37/Shallow_Input!Y37)^2,1)</x:f>
        <x:v>1</x:v>
      </x:c>
      <x:c r="AH37" s="16" t="e">
        <x:f>J37/MAX(G37,0.000001)</x:f>
      </x:c>
      <x:c r="AI37" s="16" t="e">
        <x:f>H37/MAX(L37,0.000001)</x:f>
      </x:c>
      <x:c r="AJ37" s="16" t="e">
        <x:f>IF(K37&gt;=G37,"OK","NG")</x:f>
      </x:c>
      <x:c r="AK37" s="16" t="e">
        <x:f>IF(I37&gt;=L37,"OK","NG")</x:f>
      </x:c>
      <x:c r="AL37" s="16" t="e">
        <x:f>IF(M37&gt;=0,"OK","NG")</x:f>
      </x:c>
      <x:c r="AM37" s="16" t="e">
        <x:f>IF(F37/MAX(R37,0.000001)&lt;=1,"Shallow","Deep")</x:f>
      </x:c>
    </x:row>
    <x:row r="38">
      <x:c r="A38" s="16" t="n">
        <x:f>Shallow_Input!A38</x:f>
        <x:v>0</x:v>
      </x:c>
      <x:c r="B38" s="16" t="n">
        <x:f>Shallow_Input!B38</x:f>
        <x:v>0</x:v>
      </x:c>
      <x:c r="C38" s="16" t="n">
        <x:f>Shallow_Input!C38</x:f>
        <x:v>0</x:v>
      </x:c>
      <x:c r="D38" s="16" t="n">
        <x:f>Shallow_Input!D38</x:f>
        <x:v>0</x:v>
      </x:c>
      <x:c r="E38" s="16" t="e">
        <x:f>IF(B38="S",1,Shallow_Input!E38)</x:f>
      </x:c>
      <x:c r="F38" s="16" t="n">
        <x:f>Shallow_Input!F38</x:f>
        <x:v>0</x:v>
      </x:c>
      <x:c r="G38" s="16" t="e">
        <x:f>LET(B0,D38,L0,E38,D0,F38,t,Shallow_Input!G38,Cx,Shallow_Input!H38,Cy,Shallow_Input!I38,Ox,Shallow_Input!J38,Oy,IF(B38="S",0,Shallow_Input!K38),dw,Shallow_Input!L38,Qc,Shallow_Input!M38,g1u,Shallow_Input!R38,g1sat,Shallow_Input!S38,gc,Shallow_Input!Z38,g1ave,IF(dw&gt;=D0,g1u,IF(dw&lt;=0,g1sat,(g1u*dw+g1sat*(D0-dw))/D0)),g1ave*MAX(B0*L0-Cx*Cy,0)*MAX(D0-t,0)+gc*Cx*Cy*MAX(D0-t,0)+t*B0*L0*gc+Qc)</x:f>
      </x:c>
      <x:c r="H38" s="16" t="e">
        <x:f>LET(shape,B38,B0,D38,L0,E38,D0,F38,dw,Shallow_Input!L38,g1u,Shallow_Input!R38,g1sat,Shallow_Input!S38,gw,Shallow_Input!AA38,g2u,Shallow_Input!V38,g2sat,Shallow_Input!W38,analysis,C38,c2,Shallow_Input!X38,phi1,Shallow_Input!U38,phi2,Shallow_Input!Y38,Bef,R38,Nq,V38,Nc,W38,Ny,X38,Fcs,Y38,Fqs,Z38,Fys,AA38,Fcd,AB38,Fqd,AC38,Fyd,AD38,Fci,AE38,Fqi,AF38,Fyi,AG38,g1ave,IF(dw&gt;=D0,g1u,IF(dw&lt;=0,g1sat,(g1u*dw+g1sat*(D0-dw))/D0)),g1eff,IF(dw&gt;=D0,g1u,IF(dw&lt;=0,g1sat-gw,(g1u*dw+(g1sat-gw)*(D0-dw))/D0)),g2width,IF(shape="S",B0,Bef),g2ave,IF(dw&gt;=D0+g2width,g2u,IF(dw&lt;=D0,g2sat,(g2u*(dw-D0)+g2sat*(g2width-(dw-D0)))/g2width)),g2eff,IF(dw&gt;=D0+g2width,g2u,IF(dw&lt;=D0,g2sat-gw,(g2u*(dw-D0)+(g2sat-gw)*(g2width-(dw-D0)))/g2width)),g1used,IF(analysis="T",g1ave,g1eff),g2used,IF(analysis="T",g2ave,g2eff),q,g1used*D0,c2*Nc*Fcs*Fcd*Fci+q*Nq*Fqs*Fqd*Fqi+0.5*Bef*g2used*Ny*Fys*Fyd*Fyi)</x:f>
      </x:c>
      <x:c r="I38" s="16" t="e">
        <x:f>H38/Shallow_Input!AB38</x:f>
      </x:c>
      <x:c r="J38" s="16" t="e">
        <x:f>H38*T38</x:f>
      </x:c>
      <x:c r="K38" s="16" t="e">
        <x:f>I38*T38</x:f>
      </x:c>
      <x:c r="L38" s="16" t="e">
        <x:f>G38/(D38*E38)*(1+6*N38/D38+6*O38/E38)</x:f>
      </x:c>
      <x:c r="M38" s="16" t="e">
        <x:f>G38/(D38*E38)*(1-6*N38/D38-6*O38/E38)</x:f>
      </x:c>
      <x:c r="N38" s="16" t="e">
        <x:f>ABS((Shallow_Input!Z38*Shallow_Input!H38*Shallow_Input!I38*MAX(Shallow_Input!F38-Shallow_Input!G38,0)+Shallow_Input!M38)*Shallow_Input!J38+Shallow_Input!P38*Shallow_Input!F38+Shallow_Input!O38)/G38</x:f>
      </x:c>
      <x:c r="O38" s="16" t="e">
        <x:f>ABS(((Shallow_Input!Z38*Shallow_Input!H38*Shallow_Input!I38*MAX(Shallow_Input!F38-Shallow_Input!G38,0)+Shallow_Input!M38)*IF(B38="S",0,Shallow_Input!K38)+Shallow_Input!Q38*Shallow_Input!F38+IF(B38="S",0,Shallow_Input!N38))/G38)</x:f>
      </x:c>
      <x:c r="P38" s="16" t="e">
        <x:f>D38-2*N38</x:f>
      </x:c>
      <x:c r="Q38" s="16" t="e">
        <x:f>E38-2*O38</x:f>
      </x:c>
      <x:c r="R38" s="16" t="e">
        <x:f>MAX(P38,0.000001)</x:f>
      </x:c>
      <x:c r="S38" s="16" t="e">
        <x:f>IF(B38="S",1,MAX(Q38,0.000001))</x:f>
      </x:c>
      <x:c r="T38" s="16" t="e">
        <x:f>R38*S38</x:f>
      </x:c>
      <x:c r="U38" s="16" t="e">
        <x:f>DEGREES(ATAN(SQRT(Shallow_Input!P38^2+Shallow_Input!Q38^2)/G38))</x:f>
      </x:c>
      <x:c r="V38" s="16" t="n">
        <x:f>EXP(PI()*TAN(RADIANS(Shallow_Input!Y38)))*TAN(PI()/4+RADIANS(Shallow_Input!Y38)/2)^2</x:f>
        <x:v>0.9999999999999998</x:v>
      </x:c>
      <x:c r="W38" s="16" t="n">
        <x:f>IF(ABS(TAN(RADIANS(Shallow_Input!Y38)))&gt;0.0000001,(V38-1)/TAN(RADIANS(Shallow_Input!Y38)),5.14)</x:f>
        <x:v>5.14</x:v>
      </x:c>
      <x:c r="X38" s="16" t="n">
        <x:f>2*(V38+1)*TAN(RADIANS(Shallow_Input!Y38))</x:f>
        <x:v>0</x:v>
      </x:c>
      <x:c r="Y38" s="16" t="e">
        <x:f>IF(B38="S",1,1+R38/S38*V38/MAX(W38,0.000001))</x:f>
      </x:c>
      <x:c r="Z38" s="16" t="e">
        <x:f>IF(B38="S",1,1+R38/S38*TAN(RADIANS(Shallow_Input!Y38)))</x:f>
      </x:c>
      <x:c r="AA38" s="16" t="e">
        <x:f>IF(B38="S",1,1-0.4*R38/S38)</x:f>
      </x:c>
      <x:c r="AB38" s="16" t="e">
        <x:f>1+0.4*IF(F38/MAX(R38,0.000001)&lt;=1,F38/MAX(R38,0.000001),ATAN(F38/MAX(R38,0.000001)))</x:f>
      </x:c>
      <x:c r="AC38" s="16" t="e">
        <x:f>1+2*TAN(RADIANS(Shallow_Input!U38))*(1-SIN(RADIANS(Shallow_Input!U38)))^2*IF(F38/MAX(R38,0.000001)&lt;=1,F38/MAX(R38,0.000001),ATAN(F38/MAX(R38,0.000001)))</x:f>
      </x:c>
      <x:c r="AD38" s="16" t="n">
        <x:f>1</x:f>
        <x:v>1</x:v>
      </x:c>
      <x:c r="AE38" s="16" t="e">
        <x:f>(1-U38/90)^2</x:f>
      </x:c>
      <x:c r="AF38" s="16" t="e">
        <x:f>(1-U38/90)^2</x:f>
      </x:c>
      <x:c r="AG38" s="16" t="n">
        <x:f>IF(Shallow_Input!Y38&gt;0,(1-U38/Shallow_Input!Y38)^2,1)</x:f>
        <x:v>1</x:v>
      </x:c>
      <x:c r="AH38" s="16" t="e">
        <x:f>J38/MAX(G38,0.000001)</x:f>
      </x:c>
      <x:c r="AI38" s="16" t="e">
        <x:f>H38/MAX(L38,0.000001)</x:f>
      </x:c>
      <x:c r="AJ38" s="16" t="e">
        <x:f>IF(K38&gt;=G38,"OK","NG")</x:f>
      </x:c>
      <x:c r="AK38" s="16" t="e">
        <x:f>IF(I38&gt;=L38,"OK","NG")</x:f>
      </x:c>
      <x:c r="AL38" s="16" t="e">
        <x:f>IF(M38&gt;=0,"OK","NG")</x:f>
      </x:c>
      <x:c r="AM38" s="16" t="e">
        <x:f>IF(F38/MAX(R38,0.000001)&lt;=1,"Shallow","Deep")</x:f>
      </x:c>
    </x:row>
    <x:row r="39">
      <x:c r="A39" s="16" t="n">
        <x:f>Shallow_Input!A39</x:f>
        <x:v>0</x:v>
      </x:c>
      <x:c r="B39" s="16" t="n">
        <x:f>Shallow_Input!B39</x:f>
        <x:v>0</x:v>
      </x:c>
      <x:c r="C39" s="16" t="n">
        <x:f>Shallow_Input!C39</x:f>
        <x:v>0</x:v>
      </x:c>
      <x:c r="D39" s="16" t="n">
        <x:f>Shallow_Input!D39</x:f>
        <x:v>0</x:v>
      </x:c>
      <x:c r="E39" s="16" t="e">
        <x:f>IF(B39="S",1,Shallow_Input!E39)</x:f>
      </x:c>
      <x:c r="F39" s="16" t="n">
        <x:f>Shallow_Input!F39</x:f>
        <x:v>0</x:v>
      </x:c>
      <x:c r="G39" s="16" t="e">
        <x:f>LET(B0,D39,L0,E39,D0,F39,t,Shallow_Input!G39,Cx,Shallow_Input!H39,Cy,Shallow_Input!I39,Ox,Shallow_Input!J39,Oy,IF(B39="S",0,Shallow_Input!K39),dw,Shallow_Input!L39,Qc,Shallow_Input!M39,g1u,Shallow_Input!R39,g1sat,Shallow_Input!S39,gc,Shallow_Input!Z39,g1ave,IF(dw&gt;=D0,g1u,IF(dw&lt;=0,g1sat,(g1u*dw+g1sat*(D0-dw))/D0)),g1ave*MAX(B0*L0-Cx*Cy,0)*MAX(D0-t,0)+gc*Cx*Cy*MAX(D0-t,0)+t*B0*L0*gc+Qc)</x:f>
      </x:c>
      <x:c r="H39" s="16" t="e">
        <x:f>LET(shape,B39,B0,D39,L0,E39,D0,F39,dw,Shallow_Input!L39,g1u,Shallow_Input!R39,g1sat,Shallow_Input!S39,gw,Shallow_Input!AA39,g2u,Shallow_Input!V39,g2sat,Shallow_Input!W39,analysis,C39,c2,Shallow_Input!X39,phi1,Shallow_Input!U39,phi2,Shallow_Input!Y39,Bef,R39,Nq,V39,Nc,W39,Ny,X39,Fcs,Y39,Fqs,Z39,Fys,AA39,Fcd,AB39,Fqd,AC39,Fyd,AD39,Fci,AE39,Fqi,AF39,Fyi,AG39,g1ave,IF(dw&gt;=D0,g1u,IF(dw&lt;=0,g1sat,(g1u*dw+g1sat*(D0-dw))/D0)),g1eff,IF(dw&gt;=D0,g1u,IF(dw&lt;=0,g1sat-gw,(g1u*dw+(g1sat-gw)*(D0-dw))/D0)),g2width,IF(shape="S",B0,Bef),g2ave,IF(dw&gt;=D0+g2width,g2u,IF(dw&lt;=D0,g2sat,(g2u*(dw-D0)+g2sat*(g2width-(dw-D0)))/g2width)),g2eff,IF(dw&gt;=D0+g2width,g2u,IF(dw&lt;=D0,g2sat-gw,(g2u*(dw-D0)+(g2sat-gw)*(g2width-(dw-D0)))/g2width)),g1used,IF(analysis="T",g1ave,g1eff),g2used,IF(analysis="T",g2ave,g2eff),q,g1used*D0,c2*Nc*Fcs*Fcd*Fci+q*Nq*Fqs*Fqd*Fqi+0.5*Bef*g2used*Ny*Fys*Fyd*Fyi)</x:f>
      </x:c>
      <x:c r="I39" s="16" t="e">
        <x:f>H39/Shallow_Input!AB39</x:f>
      </x:c>
      <x:c r="J39" s="16" t="e">
        <x:f>H39*T39</x:f>
      </x:c>
      <x:c r="K39" s="16" t="e">
        <x:f>I39*T39</x:f>
      </x:c>
      <x:c r="L39" s="16" t="e">
        <x:f>G39/(D39*E39)*(1+6*N39/D39+6*O39/E39)</x:f>
      </x:c>
      <x:c r="M39" s="16" t="e">
        <x:f>G39/(D39*E39)*(1-6*N39/D39-6*O39/E39)</x:f>
      </x:c>
      <x:c r="N39" s="16" t="e">
        <x:f>ABS((Shallow_Input!Z39*Shallow_Input!H39*Shallow_Input!I39*MAX(Shallow_Input!F39-Shallow_Input!G39,0)+Shallow_Input!M39)*Shallow_Input!J39+Shallow_Input!P39*Shallow_Input!F39+Shallow_Input!O39)/G39</x:f>
      </x:c>
      <x:c r="O39" s="16" t="e">
        <x:f>ABS(((Shallow_Input!Z39*Shallow_Input!H39*Shallow_Input!I39*MAX(Shallow_Input!F39-Shallow_Input!G39,0)+Shallow_Input!M39)*IF(B39="S",0,Shallow_Input!K39)+Shallow_Input!Q39*Shallow_Input!F39+IF(B39="S",0,Shallow_Input!N39))/G39)</x:f>
      </x:c>
      <x:c r="P39" s="16" t="e">
        <x:f>D39-2*N39</x:f>
      </x:c>
      <x:c r="Q39" s="16" t="e">
        <x:f>E39-2*O39</x:f>
      </x:c>
      <x:c r="R39" s="16" t="e">
        <x:f>MAX(P39,0.000001)</x:f>
      </x:c>
      <x:c r="S39" s="16" t="e">
        <x:f>IF(B39="S",1,MAX(Q39,0.000001))</x:f>
      </x:c>
      <x:c r="T39" s="16" t="e">
        <x:f>R39*S39</x:f>
      </x:c>
      <x:c r="U39" s="16" t="e">
        <x:f>DEGREES(ATAN(SQRT(Shallow_Input!P39^2+Shallow_Input!Q39^2)/G39))</x:f>
      </x:c>
      <x:c r="V39" s="16" t="n">
        <x:f>EXP(PI()*TAN(RADIANS(Shallow_Input!Y39)))*TAN(PI()/4+RADIANS(Shallow_Input!Y39)/2)^2</x:f>
        <x:v>0.9999999999999998</x:v>
      </x:c>
      <x:c r="W39" s="16" t="n">
        <x:f>IF(ABS(TAN(RADIANS(Shallow_Input!Y39)))&gt;0.0000001,(V39-1)/TAN(RADIANS(Shallow_Input!Y39)),5.14)</x:f>
        <x:v>5.14</x:v>
      </x:c>
      <x:c r="X39" s="16" t="n">
        <x:f>2*(V39+1)*TAN(RADIANS(Shallow_Input!Y39))</x:f>
        <x:v>0</x:v>
      </x:c>
      <x:c r="Y39" s="16" t="e">
        <x:f>IF(B39="S",1,1+R39/S39*V39/MAX(W39,0.000001))</x:f>
      </x:c>
      <x:c r="Z39" s="16" t="e">
        <x:f>IF(B39="S",1,1+R39/S39*TAN(RADIANS(Shallow_Input!Y39)))</x:f>
      </x:c>
      <x:c r="AA39" s="16" t="e">
        <x:f>IF(B39="S",1,1-0.4*R39/S39)</x:f>
      </x:c>
      <x:c r="AB39" s="16" t="e">
        <x:f>1+0.4*IF(F39/MAX(R39,0.000001)&lt;=1,F39/MAX(R39,0.000001),ATAN(F39/MAX(R39,0.000001)))</x:f>
      </x:c>
      <x:c r="AC39" s="16" t="e">
        <x:f>1+2*TAN(RADIANS(Shallow_Input!U39))*(1-SIN(RADIANS(Shallow_Input!U39)))^2*IF(F39/MAX(R39,0.000001)&lt;=1,F39/MAX(R39,0.000001),ATAN(F39/MAX(R39,0.000001)))</x:f>
      </x:c>
      <x:c r="AD39" s="16" t="n">
        <x:f>1</x:f>
        <x:v>1</x:v>
      </x:c>
      <x:c r="AE39" s="16" t="e">
        <x:f>(1-U39/90)^2</x:f>
      </x:c>
      <x:c r="AF39" s="16" t="e">
        <x:f>(1-U39/90)^2</x:f>
      </x:c>
      <x:c r="AG39" s="16" t="n">
        <x:f>IF(Shallow_Input!Y39&gt;0,(1-U39/Shallow_Input!Y39)^2,1)</x:f>
        <x:v>1</x:v>
      </x:c>
      <x:c r="AH39" s="16" t="e">
        <x:f>J39/MAX(G39,0.000001)</x:f>
      </x:c>
      <x:c r="AI39" s="16" t="e">
        <x:f>H39/MAX(L39,0.000001)</x:f>
      </x:c>
      <x:c r="AJ39" s="16" t="e">
        <x:f>IF(K39&gt;=G39,"OK","NG")</x:f>
      </x:c>
      <x:c r="AK39" s="16" t="e">
        <x:f>IF(I39&gt;=L39,"OK","NG")</x:f>
      </x:c>
      <x:c r="AL39" s="16" t="e">
        <x:f>IF(M39&gt;=0,"OK","NG")</x:f>
      </x:c>
      <x:c r="AM39" s="16" t="e">
        <x:f>IF(F39/MAX(R39,0.000001)&lt;=1,"Shallow","Deep")</x:f>
      </x:c>
    </x:row>
    <x:row r="40">
      <x:c r="A40" s="16" t="n">
        <x:f>Shallow_Input!A40</x:f>
        <x:v>0</x:v>
      </x:c>
      <x:c r="B40" s="16" t="n">
        <x:f>Shallow_Input!B40</x:f>
        <x:v>0</x:v>
      </x:c>
      <x:c r="C40" s="16" t="n">
        <x:f>Shallow_Input!C40</x:f>
        <x:v>0</x:v>
      </x:c>
      <x:c r="D40" s="16" t="n">
        <x:f>Shallow_Input!D40</x:f>
        <x:v>0</x:v>
      </x:c>
      <x:c r="E40" s="16" t="e">
        <x:f>IF(B40="S",1,Shallow_Input!E40)</x:f>
      </x:c>
      <x:c r="F40" s="16" t="n">
        <x:f>Shallow_Input!F40</x:f>
        <x:v>0</x:v>
      </x:c>
      <x:c r="G40" s="16" t="e">
        <x:f>LET(B0,D40,L0,E40,D0,F40,t,Shallow_Input!G40,Cx,Shallow_Input!H40,Cy,Shallow_Input!I40,Ox,Shallow_Input!J40,Oy,IF(B40="S",0,Shallow_Input!K40),dw,Shallow_Input!L40,Qc,Shallow_Input!M40,g1u,Shallow_Input!R40,g1sat,Shallow_Input!S40,gc,Shallow_Input!Z40,g1ave,IF(dw&gt;=D0,g1u,IF(dw&lt;=0,g1sat,(g1u*dw+g1sat*(D0-dw))/D0)),g1ave*MAX(B0*L0-Cx*Cy,0)*MAX(D0-t,0)+gc*Cx*Cy*MAX(D0-t,0)+t*B0*L0*gc+Qc)</x:f>
      </x:c>
      <x:c r="H40" s="16" t="e">
        <x:f>LET(shape,B40,B0,D40,L0,E40,D0,F40,dw,Shallow_Input!L40,g1u,Shallow_Input!R40,g1sat,Shallow_Input!S40,gw,Shallow_Input!AA40,g2u,Shallow_Input!V40,g2sat,Shallow_Input!W40,analysis,C40,c2,Shallow_Input!X40,phi1,Shallow_Input!U40,phi2,Shallow_Input!Y40,Bef,R40,Nq,V40,Nc,W40,Ny,X40,Fcs,Y40,Fqs,Z40,Fys,AA40,Fcd,AB40,Fqd,AC40,Fyd,AD40,Fci,AE40,Fqi,AF40,Fyi,AG40,g1ave,IF(dw&gt;=D0,g1u,IF(dw&lt;=0,g1sat,(g1u*dw+g1sat*(D0-dw))/D0)),g1eff,IF(dw&gt;=D0,g1u,IF(dw&lt;=0,g1sat-gw,(g1u*dw+(g1sat-gw)*(D0-dw))/D0)),g2width,IF(shape="S",B0,Bef),g2ave,IF(dw&gt;=D0+g2width,g2u,IF(dw&lt;=D0,g2sat,(g2u*(dw-D0)+g2sat*(g2width-(dw-D0)))/g2width)),g2eff,IF(dw&gt;=D0+g2width,g2u,IF(dw&lt;=D0,g2sat-gw,(g2u*(dw-D0)+(g2sat-gw)*(g2width-(dw-D0)))/g2width)),g1used,IF(analysis="T",g1ave,g1eff),g2used,IF(analysis="T",g2ave,g2eff),q,g1used*D0,c2*Nc*Fcs*Fcd*Fci+q*Nq*Fqs*Fqd*Fqi+0.5*Bef*g2used*Ny*Fys*Fyd*Fyi)</x:f>
      </x:c>
      <x:c r="I40" s="16" t="e">
        <x:f>H40/Shallow_Input!AB40</x:f>
      </x:c>
      <x:c r="J40" s="16" t="e">
        <x:f>H40*T40</x:f>
      </x:c>
      <x:c r="K40" s="16" t="e">
        <x:f>I40*T40</x:f>
      </x:c>
      <x:c r="L40" s="16" t="e">
        <x:f>G40/(D40*E40)*(1+6*N40/D40+6*O40/E40)</x:f>
      </x:c>
      <x:c r="M40" s="16" t="e">
        <x:f>G40/(D40*E40)*(1-6*N40/D40-6*O40/E40)</x:f>
      </x:c>
      <x:c r="N40" s="16" t="e">
        <x:f>ABS((Shallow_Input!Z40*Shallow_Input!H40*Shallow_Input!I40*MAX(Shallow_Input!F40-Shallow_Input!G40,0)+Shallow_Input!M40)*Shallow_Input!J40+Shallow_Input!P40*Shallow_Input!F40+Shallow_Input!O40)/G40</x:f>
      </x:c>
      <x:c r="O40" s="16" t="e">
        <x:f>ABS(((Shallow_Input!Z40*Shallow_Input!H40*Shallow_Input!I40*MAX(Shallow_Input!F40-Shallow_Input!G40,0)+Shallow_Input!M40)*IF(B40="S",0,Shallow_Input!K40)+Shallow_Input!Q40*Shallow_Input!F40+IF(B40="S",0,Shallow_Input!N40))/G40)</x:f>
      </x:c>
      <x:c r="P40" s="16" t="e">
        <x:f>D40-2*N40</x:f>
      </x:c>
      <x:c r="Q40" s="16" t="e">
        <x:f>E40-2*O40</x:f>
      </x:c>
      <x:c r="R40" s="16" t="e">
        <x:f>MAX(P40,0.000001)</x:f>
      </x:c>
      <x:c r="S40" s="16" t="e">
        <x:f>IF(B40="S",1,MAX(Q40,0.000001))</x:f>
      </x:c>
      <x:c r="T40" s="16" t="e">
        <x:f>R40*S40</x:f>
      </x:c>
      <x:c r="U40" s="16" t="e">
        <x:f>DEGREES(ATAN(SQRT(Shallow_Input!P40^2+Shallow_Input!Q40^2)/G40))</x:f>
      </x:c>
      <x:c r="V40" s="16" t="n">
        <x:f>EXP(PI()*TAN(RADIANS(Shallow_Input!Y40)))*TAN(PI()/4+RADIANS(Shallow_Input!Y40)/2)^2</x:f>
        <x:v>0.9999999999999998</x:v>
      </x:c>
      <x:c r="W40" s="16" t="n">
        <x:f>IF(ABS(TAN(RADIANS(Shallow_Input!Y40)))&gt;0.0000001,(V40-1)/TAN(RADIANS(Shallow_Input!Y40)),5.14)</x:f>
        <x:v>5.14</x:v>
      </x:c>
      <x:c r="X40" s="16" t="n">
        <x:f>2*(V40+1)*TAN(RADIANS(Shallow_Input!Y40))</x:f>
        <x:v>0</x:v>
      </x:c>
      <x:c r="Y40" s="16" t="e">
        <x:f>IF(B40="S",1,1+R40/S40*V40/MAX(W40,0.000001))</x:f>
      </x:c>
      <x:c r="Z40" s="16" t="e">
        <x:f>IF(B40="S",1,1+R40/S40*TAN(RADIANS(Shallow_Input!Y40)))</x:f>
      </x:c>
      <x:c r="AA40" s="16" t="e">
        <x:f>IF(B40="S",1,1-0.4*R40/S40)</x:f>
      </x:c>
      <x:c r="AB40" s="16" t="e">
        <x:f>1+0.4*IF(F40/MAX(R40,0.000001)&lt;=1,F40/MAX(R40,0.000001),ATAN(F40/MAX(R40,0.000001)))</x:f>
      </x:c>
      <x:c r="AC40" s="16" t="e">
        <x:f>1+2*TAN(RADIANS(Shallow_Input!U40))*(1-SIN(RADIANS(Shallow_Input!U40)))^2*IF(F40/MAX(R40,0.000001)&lt;=1,F40/MAX(R40,0.000001),ATAN(F40/MAX(R40,0.000001)))</x:f>
      </x:c>
      <x:c r="AD40" s="16" t="n">
        <x:f>1</x:f>
        <x:v>1</x:v>
      </x:c>
      <x:c r="AE40" s="16" t="e">
        <x:f>(1-U40/90)^2</x:f>
      </x:c>
      <x:c r="AF40" s="16" t="e">
        <x:f>(1-U40/90)^2</x:f>
      </x:c>
      <x:c r="AG40" s="16" t="n">
        <x:f>IF(Shallow_Input!Y40&gt;0,(1-U40/Shallow_Input!Y40)^2,1)</x:f>
        <x:v>1</x:v>
      </x:c>
      <x:c r="AH40" s="16" t="e">
        <x:f>J40/MAX(G40,0.000001)</x:f>
      </x:c>
      <x:c r="AI40" s="16" t="e">
        <x:f>H40/MAX(L40,0.000001)</x:f>
      </x:c>
      <x:c r="AJ40" s="16" t="e">
        <x:f>IF(K40&gt;=G40,"OK","NG")</x:f>
      </x:c>
      <x:c r="AK40" s="16" t="e">
        <x:f>IF(I40&gt;=L40,"OK","NG")</x:f>
      </x:c>
      <x:c r="AL40" s="16" t="e">
        <x:f>IF(M40&gt;=0,"OK","NG")</x:f>
      </x:c>
      <x:c r="AM40" s="16" t="e">
        <x:f>IF(F40/MAX(R40,0.000001)&lt;=1,"Shallow","Deep")</x:f>
      </x:c>
    </x:row>
    <x:row r="41">
      <x:c r="A41" s="16" t="n">
        <x:f>Shallow_Input!A41</x:f>
        <x:v>0</x:v>
      </x:c>
      <x:c r="B41" s="16" t="n">
        <x:f>Shallow_Input!B41</x:f>
        <x:v>0</x:v>
      </x:c>
      <x:c r="C41" s="16" t="n">
        <x:f>Shallow_Input!C41</x:f>
        <x:v>0</x:v>
      </x:c>
      <x:c r="D41" s="16" t="n">
        <x:f>Shallow_Input!D41</x:f>
        <x:v>0</x:v>
      </x:c>
      <x:c r="E41" s="16" t="e">
        <x:f>IF(B41="S",1,Shallow_Input!E41)</x:f>
      </x:c>
      <x:c r="F41" s="16" t="n">
        <x:f>Shallow_Input!F41</x:f>
        <x:v>0</x:v>
      </x:c>
      <x:c r="G41" s="16" t="e">
        <x:f>LET(B0,D41,L0,E41,D0,F41,t,Shallow_Input!G41,Cx,Shallow_Input!H41,Cy,Shallow_Input!I41,Ox,Shallow_Input!J41,Oy,IF(B41="S",0,Shallow_Input!K41),dw,Shallow_Input!L41,Qc,Shallow_Input!M41,g1u,Shallow_Input!R41,g1sat,Shallow_Input!S41,gc,Shallow_Input!Z41,g1ave,IF(dw&gt;=D0,g1u,IF(dw&lt;=0,g1sat,(g1u*dw+g1sat*(D0-dw))/D0)),g1ave*MAX(B0*L0-Cx*Cy,0)*MAX(D0-t,0)+gc*Cx*Cy*MAX(D0-t,0)+t*B0*L0*gc+Qc)</x:f>
      </x:c>
      <x:c r="H41" s="16" t="e">
        <x:f>LET(shape,B41,B0,D41,L0,E41,D0,F41,dw,Shallow_Input!L41,g1u,Shallow_Input!R41,g1sat,Shallow_Input!S41,gw,Shallow_Input!AA41,g2u,Shallow_Input!V41,g2sat,Shallow_Input!W41,analysis,C41,c2,Shallow_Input!X41,phi1,Shallow_Input!U41,phi2,Shallow_Input!Y41,Bef,R41,Nq,V41,Nc,W41,Ny,X41,Fcs,Y41,Fqs,Z41,Fys,AA41,Fcd,AB41,Fqd,AC41,Fyd,AD41,Fci,AE41,Fqi,AF41,Fyi,AG41,g1ave,IF(dw&gt;=D0,g1u,IF(dw&lt;=0,g1sat,(g1u*dw+g1sat*(D0-dw))/D0)),g1eff,IF(dw&gt;=D0,g1u,IF(dw&lt;=0,g1sat-gw,(g1u*dw+(g1sat-gw)*(D0-dw))/D0)),g2width,IF(shape="S",B0,Bef),g2ave,IF(dw&gt;=D0+g2width,g2u,IF(dw&lt;=D0,g2sat,(g2u*(dw-D0)+g2sat*(g2width-(dw-D0)))/g2width)),g2eff,IF(dw&gt;=D0+g2width,g2u,IF(dw&lt;=D0,g2sat-gw,(g2u*(dw-D0)+(g2sat-gw)*(g2width-(dw-D0)))/g2width)),g1used,IF(analysis="T",g1ave,g1eff),g2used,IF(analysis="T",g2ave,g2eff),q,g1used*D0,c2*Nc*Fcs*Fcd*Fci+q*Nq*Fqs*Fqd*Fqi+0.5*Bef*g2used*Ny*Fys*Fyd*Fyi)</x:f>
      </x:c>
      <x:c r="I41" s="16" t="e">
        <x:f>H41/Shallow_Input!AB41</x:f>
      </x:c>
      <x:c r="J41" s="16" t="e">
        <x:f>H41*T41</x:f>
      </x:c>
      <x:c r="K41" s="16" t="e">
        <x:f>I41*T41</x:f>
      </x:c>
      <x:c r="L41" s="16" t="e">
        <x:f>G41/(D41*E41)*(1+6*N41/D41+6*O41/E41)</x:f>
      </x:c>
      <x:c r="M41" s="16" t="e">
        <x:f>G41/(D41*E41)*(1-6*N41/D41-6*O41/E41)</x:f>
      </x:c>
      <x:c r="N41" s="16" t="e">
        <x:f>ABS((Shallow_Input!Z41*Shallow_Input!H41*Shallow_Input!I41*MAX(Shallow_Input!F41-Shallow_Input!G41,0)+Shallow_Input!M41)*Shallow_Input!J41+Shallow_Input!P41*Shallow_Input!F41+Shallow_Input!O41)/G41</x:f>
      </x:c>
      <x:c r="O41" s="16" t="e">
        <x:f>ABS(((Shallow_Input!Z41*Shallow_Input!H41*Shallow_Input!I41*MAX(Shallow_Input!F41-Shallow_Input!G41,0)+Shallow_Input!M41)*IF(B41="S",0,Shallow_Input!K41)+Shallow_Input!Q41*Shallow_Input!F41+IF(B41="S",0,Shallow_Input!N41))/G41)</x:f>
      </x:c>
      <x:c r="P41" s="16" t="e">
        <x:f>D41-2*N41</x:f>
      </x:c>
      <x:c r="Q41" s="16" t="e">
        <x:f>E41-2*O41</x:f>
      </x:c>
      <x:c r="R41" s="16" t="e">
        <x:f>MAX(P41,0.000001)</x:f>
      </x:c>
      <x:c r="S41" s="16" t="e">
        <x:f>IF(B41="S",1,MAX(Q41,0.000001))</x:f>
      </x:c>
      <x:c r="T41" s="16" t="e">
        <x:f>R41*S41</x:f>
      </x:c>
      <x:c r="U41" s="16" t="e">
        <x:f>DEGREES(ATAN(SQRT(Shallow_Input!P41^2+Shallow_Input!Q41^2)/G41))</x:f>
      </x:c>
      <x:c r="V41" s="16" t="n">
        <x:f>EXP(PI()*TAN(RADIANS(Shallow_Input!Y41)))*TAN(PI()/4+RADIANS(Shallow_Input!Y41)/2)^2</x:f>
        <x:v>0.9999999999999998</x:v>
      </x:c>
      <x:c r="W41" s="16" t="n">
        <x:f>IF(ABS(TAN(RADIANS(Shallow_Input!Y41)))&gt;0.0000001,(V41-1)/TAN(RADIANS(Shallow_Input!Y41)),5.14)</x:f>
        <x:v>5.14</x:v>
      </x:c>
      <x:c r="X41" s="16" t="n">
        <x:f>2*(V41+1)*TAN(RADIANS(Shallow_Input!Y41))</x:f>
        <x:v>0</x:v>
      </x:c>
      <x:c r="Y41" s="16" t="e">
        <x:f>IF(B41="S",1,1+R41/S41*V41/MAX(W41,0.000001))</x:f>
      </x:c>
      <x:c r="Z41" s="16" t="e">
        <x:f>IF(B41="S",1,1+R41/S41*TAN(RADIANS(Shallow_Input!Y41)))</x:f>
      </x:c>
      <x:c r="AA41" s="16" t="e">
        <x:f>IF(B41="S",1,1-0.4*R41/S41)</x:f>
      </x:c>
      <x:c r="AB41" s="16" t="e">
        <x:f>1+0.4*IF(F41/MAX(R41,0.000001)&lt;=1,F41/MAX(R41,0.000001),ATAN(F41/MAX(R41,0.000001)))</x:f>
      </x:c>
      <x:c r="AC41" s="16" t="e">
        <x:f>1+2*TAN(RADIANS(Shallow_Input!U41))*(1-SIN(RADIANS(Shallow_Input!U41)))^2*IF(F41/MAX(R41,0.000001)&lt;=1,F41/MAX(R41,0.000001),ATAN(F41/MAX(R41,0.000001)))</x:f>
      </x:c>
      <x:c r="AD41" s="16" t="n">
        <x:f>1</x:f>
        <x:v>1</x:v>
      </x:c>
      <x:c r="AE41" s="16" t="e">
        <x:f>(1-U41/90)^2</x:f>
      </x:c>
      <x:c r="AF41" s="16" t="e">
        <x:f>(1-U41/90)^2</x:f>
      </x:c>
      <x:c r="AG41" s="16" t="n">
        <x:f>IF(Shallow_Input!Y41&gt;0,(1-U41/Shallow_Input!Y41)^2,1)</x:f>
        <x:v>1</x:v>
      </x:c>
      <x:c r="AH41" s="16" t="e">
        <x:f>J41/MAX(G41,0.000001)</x:f>
      </x:c>
      <x:c r="AI41" s="16" t="e">
        <x:f>H41/MAX(L41,0.000001)</x:f>
      </x:c>
      <x:c r="AJ41" s="16" t="e">
        <x:f>IF(K41&gt;=G41,"OK","NG")</x:f>
      </x:c>
      <x:c r="AK41" s="16" t="e">
        <x:f>IF(I41&gt;=L41,"OK","NG")</x:f>
      </x:c>
      <x:c r="AL41" s="16" t="e">
        <x:f>IF(M41&gt;=0,"OK","NG")</x:f>
      </x:c>
      <x:c r="AM41" s="16" t="e">
        <x:f>IF(F41/MAX(R41,0.000001)&lt;=1,"Shallow","Deep")</x:f>
      </x:c>
    </x:row>
    <x:row r="42">
      <x:c r="A42" s="16" t="n">
        <x:f>Shallow_Input!A42</x:f>
        <x:v>0</x:v>
      </x:c>
      <x:c r="B42" s="16" t="n">
        <x:f>Shallow_Input!B42</x:f>
        <x:v>0</x:v>
      </x:c>
      <x:c r="C42" s="16" t="n">
        <x:f>Shallow_Input!C42</x:f>
        <x:v>0</x:v>
      </x:c>
      <x:c r="D42" s="16" t="n">
        <x:f>Shallow_Input!D42</x:f>
        <x:v>0</x:v>
      </x:c>
      <x:c r="E42" s="16" t="e">
        <x:f>IF(B42="S",1,Shallow_Input!E42)</x:f>
      </x:c>
      <x:c r="F42" s="16" t="n">
        <x:f>Shallow_Input!F42</x:f>
        <x:v>0</x:v>
      </x:c>
      <x:c r="G42" s="16" t="e">
        <x:f>LET(B0,D42,L0,E42,D0,F42,t,Shallow_Input!G42,Cx,Shallow_Input!H42,Cy,Shallow_Input!I42,Ox,Shallow_Input!J42,Oy,IF(B42="S",0,Shallow_Input!K42),dw,Shallow_Input!L42,Qc,Shallow_Input!M42,g1u,Shallow_Input!R42,g1sat,Shallow_Input!S42,gc,Shallow_Input!Z42,g1ave,IF(dw&gt;=D0,g1u,IF(dw&lt;=0,g1sat,(g1u*dw+g1sat*(D0-dw))/D0)),g1ave*MAX(B0*L0-Cx*Cy,0)*MAX(D0-t,0)+gc*Cx*Cy*MAX(D0-t,0)+t*B0*L0*gc+Qc)</x:f>
      </x:c>
      <x:c r="H42" s="16" t="e">
        <x:f>LET(shape,B42,B0,D42,L0,E42,D0,F42,dw,Shallow_Input!L42,g1u,Shallow_Input!R42,g1sat,Shallow_Input!S42,gw,Shallow_Input!AA42,g2u,Shallow_Input!V42,g2sat,Shallow_Input!W42,analysis,C42,c2,Shallow_Input!X42,phi1,Shallow_Input!U42,phi2,Shallow_Input!Y42,Bef,R42,Nq,V42,Nc,W42,Ny,X42,Fcs,Y42,Fqs,Z42,Fys,AA42,Fcd,AB42,Fqd,AC42,Fyd,AD42,Fci,AE42,Fqi,AF42,Fyi,AG42,g1ave,IF(dw&gt;=D0,g1u,IF(dw&lt;=0,g1sat,(g1u*dw+g1sat*(D0-dw))/D0)),g1eff,IF(dw&gt;=D0,g1u,IF(dw&lt;=0,g1sat-gw,(g1u*dw+(g1sat-gw)*(D0-dw))/D0)),g2width,IF(shape="S",B0,Bef),g2ave,IF(dw&gt;=D0+g2width,g2u,IF(dw&lt;=D0,g2sat,(g2u*(dw-D0)+g2sat*(g2width-(dw-D0)))/g2width)),g2eff,IF(dw&gt;=D0+g2width,g2u,IF(dw&lt;=D0,g2sat-gw,(g2u*(dw-D0)+(g2sat-gw)*(g2width-(dw-D0)))/g2width)),g1used,IF(analysis="T",g1ave,g1eff),g2used,IF(analysis="T",g2ave,g2eff),q,g1used*D0,c2*Nc*Fcs*Fcd*Fci+q*Nq*Fqs*Fqd*Fqi+0.5*Bef*g2used*Ny*Fys*Fyd*Fyi)</x:f>
      </x:c>
      <x:c r="I42" s="16" t="e">
        <x:f>H42/Shallow_Input!AB42</x:f>
      </x:c>
      <x:c r="J42" s="16" t="e">
        <x:f>H42*T42</x:f>
      </x:c>
      <x:c r="K42" s="16" t="e">
        <x:f>I42*T42</x:f>
      </x:c>
      <x:c r="L42" s="16" t="e">
        <x:f>G42/(D42*E42)*(1+6*N42/D42+6*O42/E42)</x:f>
      </x:c>
      <x:c r="M42" s="16" t="e">
        <x:f>G42/(D42*E42)*(1-6*N42/D42-6*O42/E42)</x:f>
      </x:c>
      <x:c r="N42" s="16" t="e">
        <x:f>ABS((Shallow_Input!Z42*Shallow_Input!H42*Shallow_Input!I42*MAX(Shallow_Input!F42-Shallow_Input!G42,0)+Shallow_Input!M42)*Shallow_Input!J42+Shallow_Input!P42*Shallow_Input!F42+Shallow_Input!O42)/G42</x:f>
      </x:c>
      <x:c r="O42" s="16" t="e">
        <x:f>ABS(((Shallow_Input!Z42*Shallow_Input!H42*Shallow_Input!I42*MAX(Shallow_Input!F42-Shallow_Input!G42,0)+Shallow_Input!M42)*IF(B42="S",0,Shallow_Input!K42)+Shallow_Input!Q42*Shallow_Input!F42+IF(B42="S",0,Shallow_Input!N42))/G42)</x:f>
      </x:c>
      <x:c r="P42" s="16" t="e">
        <x:f>D42-2*N42</x:f>
      </x:c>
      <x:c r="Q42" s="16" t="e">
        <x:f>E42-2*O42</x:f>
      </x:c>
      <x:c r="R42" s="16" t="e">
        <x:f>MAX(P42,0.000001)</x:f>
      </x:c>
      <x:c r="S42" s="16" t="e">
        <x:f>IF(B42="S",1,MAX(Q42,0.000001))</x:f>
      </x:c>
      <x:c r="T42" s="16" t="e">
        <x:f>R42*S42</x:f>
      </x:c>
      <x:c r="U42" s="16" t="e">
        <x:f>DEGREES(ATAN(SQRT(Shallow_Input!P42^2+Shallow_Input!Q42^2)/G42))</x:f>
      </x:c>
      <x:c r="V42" s="16" t="n">
        <x:f>EXP(PI()*TAN(RADIANS(Shallow_Input!Y42)))*TAN(PI()/4+RADIANS(Shallow_Input!Y42)/2)^2</x:f>
        <x:v>0.9999999999999998</x:v>
      </x:c>
      <x:c r="W42" s="16" t="n">
        <x:f>IF(ABS(TAN(RADIANS(Shallow_Input!Y42)))&gt;0.0000001,(V42-1)/TAN(RADIANS(Shallow_Input!Y42)),5.14)</x:f>
        <x:v>5.14</x:v>
      </x:c>
      <x:c r="X42" s="16" t="n">
        <x:f>2*(V42+1)*TAN(RADIANS(Shallow_Input!Y42))</x:f>
        <x:v>0</x:v>
      </x:c>
      <x:c r="Y42" s="16" t="e">
        <x:f>IF(B42="S",1,1+R42/S42*V42/MAX(W42,0.000001))</x:f>
      </x:c>
      <x:c r="Z42" s="16" t="e">
        <x:f>IF(B42="S",1,1+R42/S42*TAN(RADIANS(Shallow_Input!Y42)))</x:f>
      </x:c>
      <x:c r="AA42" s="16" t="e">
        <x:f>IF(B42="S",1,1-0.4*R42/S42)</x:f>
      </x:c>
      <x:c r="AB42" s="16" t="e">
        <x:f>1+0.4*IF(F42/MAX(R42,0.000001)&lt;=1,F42/MAX(R42,0.000001),ATAN(F42/MAX(R42,0.000001)))</x:f>
      </x:c>
      <x:c r="AC42" s="16" t="e">
        <x:f>1+2*TAN(RADIANS(Shallow_Input!U42))*(1-SIN(RADIANS(Shallow_Input!U42)))^2*IF(F42/MAX(R42,0.000001)&lt;=1,F42/MAX(R42,0.000001),ATAN(F42/MAX(R42,0.000001)))</x:f>
      </x:c>
      <x:c r="AD42" s="16" t="n">
        <x:f>1</x:f>
        <x:v>1</x:v>
      </x:c>
      <x:c r="AE42" s="16" t="e">
        <x:f>(1-U42/90)^2</x:f>
      </x:c>
      <x:c r="AF42" s="16" t="e">
        <x:f>(1-U42/90)^2</x:f>
      </x:c>
      <x:c r="AG42" s="16" t="n">
        <x:f>IF(Shallow_Input!Y42&gt;0,(1-U42/Shallow_Input!Y42)^2,1)</x:f>
        <x:v>1</x:v>
      </x:c>
      <x:c r="AH42" s="16" t="e">
        <x:f>J42/MAX(G42,0.000001)</x:f>
      </x:c>
      <x:c r="AI42" s="16" t="e">
        <x:f>H42/MAX(L42,0.000001)</x:f>
      </x:c>
      <x:c r="AJ42" s="16" t="e">
        <x:f>IF(K42&gt;=G42,"OK","NG")</x:f>
      </x:c>
      <x:c r="AK42" s="16" t="e">
        <x:f>IF(I42&gt;=L42,"OK","NG")</x:f>
      </x:c>
      <x:c r="AL42" s="16" t="e">
        <x:f>IF(M42&gt;=0,"OK","NG")</x:f>
      </x:c>
      <x:c r="AM42" s="16" t="e">
        <x:f>IF(F42/MAX(R42,0.000001)&lt;=1,"Shallow","Deep")</x:f>
      </x:c>
    </x:row>
    <x:row r="43">
      <x:c r="A43" s="16" t="n">
        <x:f>Shallow_Input!A43</x:f>
        <x:v>0</x:v>
      </x:c>
      <x:c r="B43" s="16" t="n">
        <x:f>Shallow_Input!B43</x:f>
        <x:v>0</x:v>
      </x:c>
      <x:c r="C43" s="16" t="n">
        <x:f>Shallow_Input!C43</x:f>
        <x:v>0</x:v>
      </x:c>
      <x:c r="D43" s="16" t="n">
        <x:f>Shallow_Input!D43</x:f>
        <x:v>0</x:v>
      </x:c>
      <x:c r="E43" s="16" t="e">
        <x:f>IF(B43="S",1,Shallow_Input!E43)</x:f>
      </x:c>
      <x:c r="F43" s="16" t="n">
        <x:f>Shallow_Input!F43</x:f>
        <x:v>0</x:v>
      </x:c>
      <x:c r="G43" s="16" t="e">
        <x:f>LET(B0,D43,L0,E43,D0,F43,t,Shallow_Input!G43,Cx,Shallow_Input!H43,Cy,Shallow_Input!I43,Ox,Shallow_Input!J43,Oy,IF(B43="S",0,Shallow_Input!K43),dw,Shallow_Input!L43,Qc,Shallow_Input!M43,g1u,Shallow_Input!R43,g1sat,Shallow_Input!S43,gc,Shallow_Input!Z43,g1ave,IF(dw&gt;=D0,g1u,IF(dw&lt;=0,g1sat,(g1u*dw+g1sat*(D0-dw))/D0)),g1ave*MAX(B0*L0-Cx*Cy,0)*MAX(D0-t,0)+gc*Cx*Cy*MAX(D0-t,0)+t*B0*L0*gc+Qc)</x:f>
      </x:c>
      <x:c r="H43" s="16" t="e">
        <x:f>LET(shape,B43,B0,D43,L0,E43,D0,F43,dw,Shallow_Input!L43,g1u,Shallow_Input!R43,g1sat,Shallow_Input!S43,gw,Shallow_Input!AA43,g2u,Shallow_Input!V43,g2sat,Shallow_Input!W43,analysis,C43,c2,Shallow_Input!X43,phi1,Shallow_Input!U43,phi2,Shallow_Input!Y43,Bef,R43,Nq,V43,Nc,W43,Ny,X43,Fcs,Y43,Fqs,Z43,Fys,AA43,Fcd,AB43,Fqd,AC43,Fyd,AD43,Fci,AE43,Fqi,AF43,Fyi,AG43,g1ave,IF(dw&gt;=D0,g1u,IF(dw&lt;=0,g1sat,(g1u*dw+g1sat*(D0-dw))/D0)),g1eff,IF(dw&gt;=D0,g1u,IF(dw&lt;=0,g1sat-gw,(g1u*dw+(g1sat-gw)*(D0-dw))/D0)),g2width,IF(shape="S",B0,Bef),g2ave,IF(dw&gt;=D0+g2width,g2u,IF(dw&lt;=D0,g2sat,(g2u*(dw-D0)+g2sat*(g2width-(dw-D0)))/g2width)),g2eff,IF(dw&gt;=D0+g2width,g2u,IF(dw&lt;=D0,g2sat-gw,(g2u*(dw-D0)+(g2sat-gw)*(g2width-(dw-D0)))/g2width)),g1used,IF(analysis="T",g1ave,g1eff),g2used,IF(analysis="T",g2ave,g2eff),q,g1used*D0,c2*Nc*Fcs*Fcd*Fci+q*Nq*Fqs*Fqd*Fqi+0.5*Bef*g2used*Ny*Fys*Fyd*Fyi)</x:f>
      </x:c>
      <x:c r="I43" s="16" t="e">
        <x:f>H43/Shallow_Input!AB43</x:f>
      </x:c>
      <x:c r="J43" s="16" t="e">
        <x:f>H43*T43</x:f>
      </x:c>
      <x:c r="K43" s="16" t="e">
        <x:f>I43*T43</x:f>
      </x:c>
      <x:c r="L43" s="16" t="e">
        <x:f>G43/(D43*E43)*(1+6*N43/D43+6*O43/E43)</x:f>
      </x:c>
      <x:c r="M43" s="16" t="e">
        <x:f>G43/(D43*E43)*(1-6*N43/D43-6*O43/E43)</x:f>
      </x:c>
      <x:c r="N43" s="16" t="e">
        <x:f>ABS((Shallow_Input!Z43*Shallow_Input!H43*Shallow_Input!I43*MAX(Shallow_Input!F43-Shallow_Input!G43,0)+Shallow_Input!M43)*Shallow_Input!J43+Shallow_Input!P43*Shallow_Input!F43+Shallow_Input!O43)/G43</x:f>
      </x:c>
      <x:c r="O43" s="16" t="e">
        <x:f>ABS(((Shallow_Input!Z43*Shallow_Input!H43*Shallow_Input!I43*MAX(Shallow_Input!F43-Shallow_Input!G43,0)+Shallow_Input!M43)*IF(B43="S",0,Shallow_Input!K43)+Shallow_Input!Q43*Shallow_Input!F43+IF(B43="S",0,Shallow_Input!N43))/G43)</x:f>
      </x:c>
      <x:c r="P43" s="16" t="e">
        <x:f>D43-2*N43</x:f>
      </x:c>
      <x:c r="Q43" s="16" t="e">
        <x:f>E43-2*O43</x:f>
      </x:c>
      <x:c r="R43" s="16" t="e">
        <x:f>MAX(P43,0.000001)</x:f>
      </x:c>
      <x:c r="S43" s="16" t="e">
        <x:f>IF(B43="S",1,MAX(Q43,0.000001))</x:f>
      </x:c>
      <x:c r="T43" s="16" t="e">
        <x:f>R43*S43</x:f>
      </x:c>
      <x:c r="U43" s="16" t="e">
        <x:f>DEGREES(ATAN(SQRT(Shallow_Input!P43^2+Shallow_Input!Q43^2)/G43))</x:f>
      </x:c>
      <x:c r="V43" s="16" t="n">
        <x:f>EXP(PI()*TAN(RADIANS(Shallow_Input!Y43)))*TAN(PI()/4+RADIANS(Shallow_Input!Y43)/2)^2</x:f>
        <x:v>0.9999999999999998</x:v>
      </x:c>
      <x:c r="W43" s="16" t="n">
        <x:f>IF(ABS(TAN(RADIANS(Shallow_Input!Y43)))&gt;0.0000001,(V43-1)/TAN(RADIANS(Shallow_Input!Y43)),5.14)</x:f>
        <x:v>5.14</x:v>
      </x:c>
      <x:c r="X43" s="16" t="n">
        <x:f>2*(V43+1)*TAN(RADIANS(Shallow_Input!Y43))</x:f>
        <x:v>0</x:v>
      </x:c>
      <x:c r="Y43" s="16" t="e">
        <x:f>IF(B43="S",1,1+R43/S43*V43/MAX(W43,0.000001))</x:f>
      </x:c>
      <x:c r="Z43" s="16" t="e">
        <x:f>IF(B43="S",1,1+R43/S43*TAN(RADIANS(Shallow_Input!Y43)))</x:f>
      </x:c>
      <x:c r="AA43" s="16" t="e">
        <x:f>IF(B43="S",1,1-0.4*R43/S43)</x:f>
      </x:c>
      <x:c r="AB43" s="16" t="e">
        <x:f>1+0.4*IF(F43/MAX(R43,0.000001)&lt;=1,F43/MAX(R43,0.000001),ATAN(F43/MAX(R43,0.000001)))</x:f>
      </x:c>
      <x:c r="AC43" s="16" t="e">
        <x:f>1+2*TAN(RADIANS(Shallow_Input!U43))*(1-SIN(RADIANS(Shallow_Input!U43)))^2*IF(F43/MAX(R43,0.000001)&lt;=1,F43/MAX(R43,0.000001),ATAN(F43/MAX(R43,0.000001)))</x:f>
      </x:c>
      <x:c r="AD43" s="16" t="n">
        <x:f>1</x:f>
        <x:v>1</x:v>
      </x:c>
      <x:c r="AE43" s="16" t="e">
        <x:f>(1-U43/90)^2</x:f>
      </x:c>
      <x:c r="AF43" s="16" t="e">
        <x:f>(1-U43/90)^2</x:f>
      </x:c>
      <x:c r="AG43" s="16" t="n">
        <x:f>IF(Shallow_Input!Y43&gt;0,(1-U43/Shallow_Input!Y43)^2,1)</x:f>
        <x:v>1</x:v>
      </x:c>
      <x:c r="AH43" s="16" t="e">
        <x:f>J43/MAX(G43,0.000001)</x:f>
      </x:c>
      <x:c r="AI43" s="16" t="e">
        <x:f>H43/MAX(L43,0.000001)</x:f>
      </x:c>
      <x:c r="AJ43" s="16" t="e">
        <x:f>IF(K43&gt;=G43,"OK","NG")</x:f>
      </x:c>
      <x:c r="AK43" s="16" t="e">
        <x:f>IF(I43&gt;=L43,"OK","NG")</x:f>
      </x:c>
      <x:c r="AL43" s="16" t="e">
        <x:f>IF(M43&gt;=0,"OK","NG")</x:f>
      </x:c>
      <x:c r="AM43" s="16" t="e">
        <x:f>IF(F43/MAX(R43,0.000001)&lt;=1,"Shallow","Deep")</x:f>
      </x:c>
    </x:row>
    <x:row r="44">
      <x:c r="A44" s="16" t="n">
        <x:f>Shallow_Input!A44</x:f>
        <x:v>0</x:v>
      </x:c>
      <x:c r="B44" s="16" t="n">
        <x:f>Shallow_Input!B44</x:f>
        <x:v>0</x:v>
      </x:c>
      <x:c r="C44" s="16" t="n">
        <x:f>Shallow_Input!C44</x:f>
        <x:v>0</x:v>
      </x:c>
      <x:c r="D44" s="16" t="n">
        <x:f>Shallow_Input!D44</x:f>
        <x:v>0</x:v>
      </x:c>
      <x:c r="E44" s="16" t="e">
        <x:f>IF(B44="S",1,Shallow_Input!E44)</x:f>
      </x:c>
      <x:c r="F44" s="16" t="n">
        <x:f>Shallow_Input!F44</x:f>
        <x:v>0</x:v>
      </x:c>
      <x:c r="G44" s="16" t="e">
        <x:f>LET(B0,D44,L0,E44,D0,F44,t,Shallow_Input!G44,Cx,Shallow_Input!H44,Cy,Shallow_Input!I44,Ox,Shallow_Input!J44,Oy,IF(B44="S",0,Shallow_Input!K44),dw,Shallow_Input!L44,Qc,Shallow_Input!M44,g1u,Shallow_Input!R44,g1sat,Shallow_Input!S44,gc,Shallow_Input!Z44,g1ave,IF(dw&gt;=D0,g1u,IF(dw&lt;=0,g1sat,(g1u*dw+g1sat*(D0-dw))/D0)),g1ave*MAX(B0*L0-Cx*Cy,0)*MAX(D0-t,0)+gc*Cx*Cy*MAX(D0-t,0)+t*B0*L0*gc+Qc)</x:f>
      </x:c>
      <x:c r="H44" s="16" t="e">
        <x:f>LET(shape,B44,B0,D44,L0,E44,D0,F44,dw,Shallow_Input!L44,g1u,Shallow_Input!R44,g1sat,Shallow_Input!S44,gw,Shallow_Input!AA44,g2u,Shallow_Input!V44,g2sat,Shallow_Input!W44,analysis,C44,c2,Shallow_Input!X44,phi1,Shallow_Input!U44,phi2,Shallow_Input!Y44,Bef,R44,Nq,V44,Nc,W44,Ny,X44,Fcs,Y44,Fqs,Z44,Fys,AA44,Fcd,AB44,Fqd,AC44,Fyd,AD44,Fci,AE44,Fqi,AF44,Fyi,AG44,g1ave,IF(dw&gt;=D0,g1u,IF(dw&lt;=0,g1sat,(g1u*dw+g1sat*(D0-dw))/D0)),g1eff,IF(dw&gt;=D0,g1u,IF(dw&lt;=0,g1sat-gw,(g1u*dw+(g1sat-gw)*(D0-dw))/D0)),g2width,IF(shape="S",B0,Bef),g2ave,IF(dw&gt;=D0+g2width,g2u,IF(dw&lt;=D0,g2sat,(g2u*(dw-D0)+g2sat*(g2width-(dw-D0)))/g2width)),g2eff,IF(dw&gt;=D0+g2width,g2u,IF(dw&lt;=D0,g2sat-gw,(g2u*(dw-D0)+(g2sat-gw)*(g2width-(dw-D0)))/g2width)),g1used,IF(analysis="T",g1ave,g1eff),g2used,IF(analysis="T",g2ave,g2eff),q,g1used*D0,c2*Nc*Fcs*Fcd*Fci+q*Nq*Fqs*Fqd*Fqi+0.5*Bef*g2used*Ny*Fys*Fyd*Fyi)</x:f>
      </x:c>
      <x:c r="I44" s="16" t="e">
        <x:f>H44/Shallow_Input!AB44</x:f>
      </x:c>
      <x:c r="J44" s="16" t="e">
        <x:f>H44*T44</x:f>
      </x:c>
      <x:c r="K44" s="16" t="e">
        <x:f>I44*T44</x:f>
      </x:c>
      <x:c r="L44" s="16" t="e">
        <x:f>G44/(D44*E44)*(1+6*N44/D44+6*O44/E44)</x:f>
      </x:c>
      <x:c r="M44" s="16" t="e">
        <x:f>G44/(D44*E44)*(1-6*N44/D44-6*O44/E44)</x:f>
      </x:c>
      <x:c r="N44" s="16" t="e">
        <x:f>ABS((Shallow_Input!Z44*Shallow_Input!H44*Shallow_Input!I44*MAX(Shallow_Input!F44-Shallow_Input!G44,0)+Shallow_Input!M44)*Shallow_Input!J44+Shallow_Input!P44*Shallow_Input!F44+Shallow_Input!O44)/G44</x:f>
      </x:c>
      <x:c r="O44" s="16" t="e">
        <x:f>ABS(((Shallow_Input!Z44*Shallow_Input!H44*Shallow_Input!I44*MAX(Shallow_Input!F44-Shallow_Input!G44,0)+Shallow_Input!M44)*IF(B44="S",0,Shallow_Input!K44)+Shallow_Input!Q44*Shallow_Input!F44+IF(B44="S",0,Shallow_Input!N44))/G44)</x:f>
      </x:c>
      <x:c r="P44" s="16" t="e">
        <x:f>D44-2*N44</x:f>
      </x:c>
      <x:c r="Q44" s="16" t="e">
        <x:f>E44-2*O44</x:f>
      </x:c>
      <x:c r="R44" s="16" t="e">
        <x:f>MAX(P44,0.000001)</x:f>
      </x:c>
      <x:c r="S44" s="16" t="e">
        <x:f>IF(B44="S",1,MAX(Q44,0.000001))</x:f>
      </x:c>
      <x:c r="T44" s="16" t="e">
        <x:f>R44*S44</x:f>
      </x:c>
      <x:c r="U44" s="16" t="e">
        <x:f>DEGREES(ATAN(SQRT(Shallow_Input!P44^2+Shallow_Input!Q44^2)/G44))</x:f>
      </x:c>
      <x:c r="V44" s="16" t="n">
        <x:f>EXP(PI()*TAN(RADIANS(Shallow_Input!Y44)))*TAN(PI()/4+RADIANS(Shallow_Input!Y44)/2)^2</x:f>
        <x:v>0.9999999999999998</x:v>
      </x:c>
      <x:c r="W44" s="16" t="n">
        <x:f>IF(ABS(TAN(RADIANS(Shallow_Input!Y44)))&gt;0.0000001,(V44-1)/TAN(RADIANS(Shallow_Input!Y44)),5.14)</x:f>
        <x:v>5.14</x:v>
      </x:c>
      <x:c r="X44" s="16" t="n">
        <x:f>2*(V44+1)*TAN(RADIANS(Shallow_Input!Y44))</x:f>
        <x:v>0</x:v>
      </x:c>
      <x:c r="Y44" s="16" t="e">
        <x:f>IF(B44="S",1,1+R44/S44*V44/MAX(W44,0.000001))</x:f>
      </x:c>
      <x:c r="Z44" s="16" t="e">
        <x:f>IF(B44="S",1,1+R44/S44*TAN(RADIANS(Shallow_Input!Y44)))</x:f>
      </x:c>
      <x:c r="AA44" s="16" t="e">
        <x:f>IF(B44="S",1,1-0.4*R44/S44)</x:f>
      </x:c>
      <x:c r="AB44" s="16" t="e">
        <x:f>1+0.4*IF(F44/MAX(R44,0.000001)&lt;=1,F44/MAX(R44,0.000001),ATAN(F44/MAX(R44,0.000001)))</x:f>
      </x:c>
      <x:c r="AC44" s="16" t="e">
        <x:f>1+2*TAN(RADIANS(Shallow_Input!U44))*(1-SIN(RADIANS(Shallow_Input!U44)))^2*IF(F44/MAX(R44,0.000001)&lt;=1,F44/MAX(R44,0.000001),ATAN(F44/MAX(R44,0.000001)))</x:f>
      </x:c>
      <x:c r="AD44" s="16" t="n">
        <x:f>1</x:f>
        <x:v>1</x:v>
      </x:c>
      <x:c r="AE44" s="16" t="e">
        <x:f>(1-U44/90)^2</x:f>
      </x:c>
      <x:c r="AF44" s="16" t="e">
        <x:f>(1-U44/90)^2</x:f>
      </x:c>
      <x:c r="AG44" s="16" t="n">
        <x:f>IF(Shallow_Input!Y44&gt;0,(1-U44/Shallow_Input!Y44)^2,1)</x:f>
        <x:v>1</x:v>
      </x:c>
      <x:c r="AH44" s="16" t="e">
        <x:f>J44/MAX(G44,0.000001)</x:f>
      </x:c>
      <x:c r="AI44" s="16" t="e">
        <x:f>H44/MAX(L44,0.000001)</x:f>
      </x:c>
      <x:c r="AJ44" s="16" t="e">
        <x:f>IF(K44&gt;=G44,"OK","NG")</x:f>
      </x:c>
      <x:c r="AK44" s="16" t="e">
        <x:f>IF(I44&gt;=L44,"OK","NG")</x:f>
      </x:c>
      <x:c r="AL44" s="16" t="e">
        <x:f>IF(M44&gt;=0,"OK","NG")</x:f>
      </x:c>
      <x:c r="AM44" s="16" t="e">
        <x:f>IF(F44/MAX(R44,0.000001)&lt;=1,"Shallow","Deep")</x:f>
      </x:c>
    </x:row>
    <x:row r="45">
      <x:c r="A45" s="16" t="n">
        <x:f>Shallow_Input!A45</x:f>
        <x:v>0</x:v>
      </x:c>
      <x:c r="B45" s="16" t="n">
        <x:f>Shallow_Input!B45</x:f>
        <x:v>0</x:v>
      </x:c>
      <x:c r="C45" s="16" t="n">
        <x:f>Shallow_Input!C45</x:f>
        <x:v>0</x:v>
      </x:c>
      <x:c r="D45" s="16" t="n">
        <x:f>Shallow_Input!D45</x:f>
        <x:v>0</x:v>
      </x:c>
      <x:c r="E45" s="16" t="e">
        <x:f>IF(B45="S",1,Shallow_Input!E45)</x:f>
      </x:c>
      <x:c r="F45" s="16" t="n">
        <x:f>Shallow_Input!F45</x:f>
        <x:v>0</x:v>
      </x:c>
      <x:c r="G45" s="16" t="e">
        <x:f>LET(B0,D45,L0,E45,D0,F45,t,Shallow_Input!G45,Cx,Shallow_Input!H45,Cy,Shallow_Input!I45,Ox,Shallow_Input!J45,Oy,IF(B45="S",0,Shallow_Input!K45),dw,Shallow_Input!L45,Qc,Shallow_Input!M45,g1u,Shallow_Input!R45,g1sat,Shallow_Input!S45,gc,Shallow_Input!Z45,g1ave,IF(dw&gt;=D0,g1u,IF(dw&lt;=0,g1sat,(g1u*dw+g1sat*(D0-dw))/D0)),g1ave*MAX(B0*L0-Cx*Cy,0)*MAX(D0-t,0)+gc*Cx*Cy*MAX(D0-t,0)+t*B0*L0*gc+Qc)</x:f>
      </x:c>
      <x:c r="H45" s="16" t="e">
        <x:f>LET(shape,B45,B0,D45,L0,E45,D0,F45,dw,Shallow_Input!L45,g1u,Shallow_Input!R45,g1sat,Shallow_Input!S45,gw,Shallow_Input!AA45,g2u,Shallow_Input!V45,g2sat,Shallow_Input!W45,analysis,C45,c2,Shallow_Input!X45,phi1,Shallow_Input!U45,phi2,Shallow_Input!Y45,Bef,R45,Nq,V45,Nc,W45,Ny,X45,Fcs,Y45,Fqs,Z45,Fys,AA45,Fcd,AB45,Fqd,AC45,Fyd,AD45,Fci,AE45,Fqi,AF45,Fyi,AG45,g1ave,IF(dw&gt;=D0,g1u,IF(dw&lt;=0,g1sat,(g1u*dw+g1sat*(D0-dw))/D0)),g1eff,IF(dw&gt;=D0,g1u,IF(dw&lt;=0,g1sat-gw,(g1u*dw+(g1sat-gw)*(D0-dw))/D0)),g2width,IF(shape="S",B0,Bef),g2ave,IF(dw&gt;=D0+g2width,g2u,IF(dw&lt;=D0,g2sat,(g2u*(dw-D0)+g2sat*(g2width-(dw-D0)))/g2width)),g2eff,IF(dw&gt;=D0+g2width,g2u,IF(dw&lt;=D0,g2sat-gw,(g2u*(dw-D0)+(g2sat-gw)*(g2width-(dw-D0)))/g2width)),g1used,IF(analysis="T",g1ave,g1eff),g2used,IF(analysis="T",g2ave,g2eff),q,g1used*D0,c2*Nc*Fcs*Fcd*Fci+q*Nq*Fqs*Fqd*Fqi+0.5*Bef*g2used*Ny*Fys*Fyd*Fyi)</x:f>
      </x:c>
      <x:c r="I45" s="16" t="e">
        <x:f>H45/Shallow_Input!AB45</x:f>
      </x:c>
      <x:c r="J45" s="16" t="e">
        <x:f>H45*T45</x:f>
      </x:c>
      <x:c r="K45" s="16" t="e">
        <x:f>I45*T45</x:f>
      </x:c>
      <x:c r="L45" s="16" t="e">
        <x:f>G45/(D45*E45)*(1+6*N45/D45+6*O45/E45)</x:f>
      </x:c>
      <x:c r="M45" s="16" t="e">
        <x:f>G45/(D45*E45)*(1-6*N45/D45-6*O45/E45)</x:f>
      </x:c>
      <x:c r="N45" s="16" t="e">
        <x:f>ABS((Shallow_Input!Z45*Shallow_Input!H45*Shallow_Input!I45*MAX(Shallow_Input!F45-Shallow_Input!G45,0)+Shallow_Input!M45)*Shallow_Input!J45+Shallow_Input!P45*Shallow_Input!F45+Shallow_Input!O45)/G45</x:f>
      </x:c>
      <x:c r="O45" s="16" t="e">
        <x:f>ABS(((Shallow_Input!Z45*Shallow_Input!H45*Shallow_Input!I45*MAX(Shallow_Input!F45-Shallow_Input!G45,0)+Shallow_Input!M45)*IF(B45="S",0,Shallow_Input!K45)+Shallow_Input!Q45*Shallow_Input!F45+IF(B45="S",0,Shallow_Input!N45))/G45)</x:f>
      </x:c>
      <x:c r="P45" s="16" t="e">
        <x:f>D45-2*N45</x:f>
      </x:c>
      <x:c r="Q45" s="16" t="e">
        <x:f>E45-2*O45</x:f>
      </x:c>
      <x:c r="R45" s="16" t="e">
        <x:f>MAX(P45,0.000001)</x:f>
      </x:c>
      <x:c r="S45" s="16" t="e">
        <x:f>IF(B45="S",1,MAX(Q45,0.000001))</x:f>
      </x:c>
      <x:c r="T45" s="16" t="e">
        <x:f>R45*S45</x:f>
      </x:c>
      <x:c r="U45" s="16" t="e">
        <x:f>DEGREES(ATAN(SQRT(Shallow_Input!P45^2+Shallow_Input!Q45^2)/G45))</x:f>
      </x:c>
      <x:c r="V45" s="16" t="n">
        <x:f>EXP(PI()*TAN(RADIANS(Shallow_Input!Y45)))*TAN(PI()/4+RADIANS(Shallow_Input!Y45)/2)^2</x:f>
        <x:v>0.9999999999999998</x:v>
      </x:c>
      <x:c r="W45" s="16" t="n">
        <x:f>IF(ABS(TAN(RADIANS(Shallow_Input!Y45)))&gt;0.0000001,(V45-1)/TAN(RADIANS(Shallow_Input!Y45)),5.14)</x:f>
        <x:v>5.14</x:v>
      </x:c>
      <x:c r="X45" s="16" t="n">
        <x:f>2*(V45+1)*TAN(RADIANS(Shallow_Input!Y45))</x:f>
        <x:v>0</x:v>
      </x:c>
      <x:c r="Y45" s="16" t="e">
        <x:f>IF(B45="S",1,1+R45/S45*V45/MAX(W45,0.000001))</x:f>
      </x:c>
      <x:c r="Z45" s="16" t="e">
        <x:f>IF(B45="S",1,1+R45/S45*TAN(RADIANS(Shallow_Input!Y45)))</x:f>
      </x:c>
      <x:c r="AA45" s="16" t="e">
        <x:f>IF(B45="S",1,1-0.4*R45/S45)</x:f>
      </x:c>
      <x:c r="AB45" s="16" t="e">
        <x:f>1+0.4*IF(F45/MAX(R45,0.000001)&lt;=1,F45/MAX(R45,0.000001),ATAN(F45/MAX(R45,0.000001)))</x:f>
      </x:c>
      <x:c r="AC45" s="16" t="e">
        <x:f>1+2*TAN(RADIANS(Shallow_Input!U45))*(1-SIN(RADIANS(Shallow_Input!U45)))^2*IF(F45/MAX(R45,0.000001)&lt;=1,F45/MAX(R45,0.000001),ATAN(F45/MAX(R45,0.000001)))</x:f>
      </x:c>
      <x:c r="AD45" s="16" t="n">
        <x:f>1</x:f>
        <x:v>1</x:v>
      </x:c>
      <x:c r="AE45" s="16" t="e">
        <x:f>(1-U45/90)^2</x:f>
      </x:c>
      <x:c r="AF45" s="16" t="e">
        <x:f>(1-U45/90)^2</x:f>
      </x:c>
      <x:c r="AG45" s="16" t="n">
        <x:f>IF(Shallow_Input!Y45&gt;0,(1-U45/Shallow_Input!Y45)^2,1)</x:f>
        <x:v>1</x:v>
      </x:c>
      <x:c r="AH45" s="16" t="e">
        <x:f>J45/MAX(G45,0.000001)</x:f>
      </x:c>
      <x:c r="AI45" s="16" t="e">
        <x:f>H45/MAX(L45,0.000001)</x:f>
      </x:c>
      <x:c r="AJ45" s="16" t="e">
        <x:f>IF(K45&gt;=G45,"OK","NG")</x:f>
      </x:c>
      <x:c r="AK45" s="16" t="e">
        <x:f>IF(I45&gt;=L45,"OK","NG")</x:f>
      </x:c>
      <x:c r="AL45" s="16" t="e">
        <x:f>IF(M45&gt;=0,"OK","NG")</x:f>
      </x:c>
      <x:c r="AM45" s="16" t="e">
        <x:f>IF(F45/MAX(R45,0.000001)&lt;=1,"Shallow","Deep")</x:f>
      </x:c>
    </x:row>
    <x:row r="46">
      <x:c r="A46" s="16" t="n">
        <x:f>Shallow_Input!A46</x:f>
        <x:v>0</x:v>
      </x:c>
      <x:c r="B46" s="16" t="n">
        <x:f>Shallow_Input!B46</x:f>
        <x:v>0</x:v>
      </x:c>
      <x:c r="C46" s="16" t="n">
        <x:f>Shallow_Input!C46</x:f>
        <x:v>0</x:v>
      </x:c>
      <x:c r="D46" s="16" t="n">
        <x:f>Shallow_Input!D46</x:f>
        <x:v>0</x:v>
      </x:c>
      <x:c r="E46" s="16" t="e">
        <x:f>IF(B46="S",1,Shallow_Input!E46)</x:f>
      </x:c>
      <x:c r="F46" s="16" t="n">
        <x:f>Shallow_Input!F46</x:f>
        <x:v>0</x:v>
      </x:c>
      <x:c r="G46" s="16" t="e">
        <x:f>LET(B0,D46,L0,E46,D0,F46,t,Shallow_Input!G46,Cx,Shallow_Input!H46,Cy,Shallow_Input!I46,Ox,Shallow_Input!J46,Oy,IF(B46="S",0,Shallow_Input!K46),dw,Shallow_Input!L46,Qc,Shallow_Input!M46,g1u,Shallow_Input!R46,g1sat,Shallow_Input!S46,gc,Shallow_Input!Z46,g1ave,IF(dw&gt;=D0,g1u,IF(dw&lt;=0,g1sat,(g1u*dw+g1sat*(D0-dw))/D0)),g1ave*MAX(B0*L0-Cx*Cy,0)*MAX(D0-t,0)+gc*Cx*Cy*MAX(D0-t,0)+t*B0*L0*gc+Qc)</x:f>
      </x:c>
      <x:c r="H46" s="16" t="e">
        <x:f>LET(shape,B46,B0,D46,L0,E46,D0,F46,dw,Shallow_Input!L46,g1u,Shallow_Input!R46,g1sat,Shallow_Input!S46,gw,Shallow_Input!AA46,g2u,Shallow_Input!V46,g2sat,Shallow_Input!W46,analysis,C46,c2,Shallow_Input!X46,phi1,Shallow_Input!U46,phi2,Shallow_Input!Y46,Bef,R46,Nq,V46,Nc,W46,Ny,X46,Fcs,Y46,Fqs,Z46,Fys,AA46,Fcd,AB46,Fqd,AC46,Fyd,AD46,Fci,AE46,Fqi,AF46,Fyi,AG46,g1ave,IF(dw&gt;=D0,g1u,IF(dw&lt;=0,g1sat,(g1u*dw+g1sat*(D0-dw))/D0)),g1eff,IF(dw&gt;=D0,g1u,IF(dw&lt;=0,g1sat-gw,(g1u*dw+(g1sat-gw)*(D0-dw))/D0)),g2width,IF(shape="S",B0,Bef),g2ave,IF(dw&gt;=D0+g2width,g2u,IF(dw&lt;=D0,g2sat,(g2u*(dw-D0)+g2sat*(g2width-(dw-D0)))/g2width)),g2eff,IF(dw&gt;=D0+g2width,g2u,IF(dw&lt;=D0,g2sat-gw,(g2u*(dw-D0)+(g2sat-gw)*(g2width-(dw-D0)))/g2width)),g1used,IF(analysis="T",g1ave,g1eff),g2used,IF(analysis="T",g2ave,g2eff),q,g1used*D0,c2*Nc*Fcs*Fcd*Fci+q*Nq*Fqs*Fqd*Fqi+0.5*Bef*g2used*Ny*Fys*Fyd*Fyi)</x:f>
      </x:c>
      <x:c r="I46" s="16" t="e">
        <x:f>H46/Shallow_Input!AB46</x:f>
      </x:c>
      <x:c r="J46" s="16" t="e">
        <x:f>H46*T46</x:f>
      </x:c>
      <x:c r="K46" s="16" t="e">
        <x:f>I46*T46</x:f>
      </x:c>
      <x:c r="L46" s="16" t="e">
        <x:f>G46/(D46*E46)*(1+6*N46/D46+6*O46/E46)</x:f>
      </x:c>
      <x:c r="M46" s="16" t="e">
        <x:f>G46/(D46*E46)*(1-6*N46/D46-6*O46/E46)</x:f>
      </x:c>
      <x:c r="N46" s="16" t="e">
        <x:f>ABS((Shallow_Input!Z46*Shallow_Input!H46*Shallow_Input!I46*MAX(Shallow_Input!F46-Shallow_Input!G46,0)+Shallow_Input!M46)*Shallow_Input!J46+Shallow_Input!P46*Shallow_Input!F46+Shallow_Input!O46)/G46</x:f>
      </x:c>
      <x:c r="O46" s="16" t="e">
        <x:f>ABS(((Shallow_Input!Z46*Shallow_Input!H46*Shallow_Input!I46*MAX(Shallow_Input!F46-Shallow_Input!G46,0)+Shallow_Input!M46)*IF(B46="S",0,Shallow_Input!K46)+Shallow_Input!Q46*Shallow_Input!F46+IF(B46="S",0,Shallow_Input!N46))/G46)</x:f>
      </x:c>
      <x:c r="P46" s="16" t="e">
        <x:f>D46-2*N46</x:f>
      </x:c>
      <x:c r="Q46" s="16" t="e">
        <x:f>E46-2*O46</x:f>
      </x:c>
      <x:c r="R46" s="16" t="e">
        <x:f>MAX(P46,0.000001)</x:f>
      </x:c>
      <x:c r="S46" s="16" t="e">
        <x:f>IF(B46="S",1,MAX(Q46,0.000001))</x:f>
      </x:c>
      <x:c r="T46" s="16" t="e">
        <x:f>R46*S46</x:f>
      </x:c>
      <x:c r="U46" s="16" t="e">
        <x:f>DEGREES(ATAN(SQRT(Shallow_Input!P46^2+Shallow_Input!Q46^2)/G46))</x:f>
      </x:c>
      <x:c r="V46" s="16" t="n">
        <x:f>EXP(PI()*TAN(RADIANS(Shallow_Input!Y46)))*TAN(PI()/4+RADIANS(Shallow_Input!Y46)/2)^2</x:f>
        <x:v>0.9999999999999998</x:v>
      </x:c>
      <x:c r="W46" s="16" t="n">
        <x:f>IF(ABS(TAN(RADIANS(Shallow_Input!Y46)))&gt;0.0000001,(V46-1)/TAN(RADIANS(Shallow_Input!Y46)),5.14)</x:f>
        <x:v>5.14</x:v>
      </x:c>
      <x:c r="X46" s="16" t="n">
        <x:f>2*(V46+1)*TAN(RADIANS(Shallow_Input!Y46))</x:f>
        <x:v>0</x:v>
      </x:c>
      <x:c r="Y46" s="16" t="e">
        <x:f>IF(B46="S",1,1+R46/S46*V46/MAX(W46,0.000001))</x:f>
      </x:c>
      <x:c r="Z46" s="16" t="e">
        <x:f>IF(B46="S",1,1+R46/S46*TAN(RADIANS(Shallow_Input!Y46)))</x:f>
      </x:c>
      <x:c r="AA46" s="16" t="e">
        <x:f>IF(B46="S",1,1-0.4*R46/S46)</x:f>
      </x:c>
      <x:c r="AB46" s="16" t="e">
        <x:f>1+0.4*IF(F46/MAX(R46,0.000001)&lt;=1,F46/MAX(R46,0.000001),ATAN(F46/MAX(R46,0.000001)))</x:f>
      </x:c>
      <x:c r="AC46" s="16" t="e">
        <x:f>1+2*TAN(RADIANS(Shallow_Input!U46))*(1-SIN(RADIANS(Shallow_Input!U46)))^2*IF(F46/MAX(R46,0.000001)&lt;=1,F46/MAX(R46,0.000001),ATAN(F46/MAX(R46,0.000001)))</x:f>
      </x:c>
      <x:c r="AD46" s="16" t="n">
        <x:f>1</x:f>
        <x:v>1</x:v>
      </x:c>
      <x:c r="AE46" s="16" t="e">
        <x:f>(1-U46/90)^2</x:f>
      </x:c>
      <x:c r="AF46" s="16" t="e">
        <x:f>(1-U46/90)^2</x:f>
      </x:c>
      <x:c r="AG46" s="16" t="n">
        <x:f>IF(Shallow_Input!Y46&gt;0,(1-U46/Shallow_Input!Y46)^2,1)</x:f>
        <x:v>1</x:v>
      </x:c>
      <x:c r="AH46" s="16" t="e">
        <x:f>J46/MAX(G46,0.000001)</x:f>
      </x:c>
      <x:c r="AI46" s="16" t="e">
        <x:f>H46/MAX(L46,0.000001)</x:f>
      </x:c>
      <x:c r="AJ46" s="16" t="e">
        <x:f>IF(K46&gt;=G46,"OK","NG")</x:f>
      </x:c>
      <x:c r="AK46" s="16" t="e">
        <x:f>IF(I46&gt;=L46,"OK","NG")</x:f>
      </x:c>
      <x:c r="AL46" s="16" t="e">
        <x:f>IF(M46&gt;=0,"OK","NG")</x:f>
      </x:c>
      <x:c r="AM46" s="16" t="e">
        <x:f>IF(F46/MAX(R46,0.000001)&lt;=1,"Shallow","Deep")</x:f>
      </x:c>
    </x:row>
    <x:row r="47">
      <x:c r="A47" s="16" t="n">
        <x:f>Shallow_Input!A47</x:f>
        <x:v>0</x:v>
      </x:c>
      <x:c r="B47" s="16" t="n">
        <x:f>Shallow_Input!B47</x:f>
        <x:v>0</x:v>
      </x:c>
      <x:c r="C47" s="16" t="n">
        <x:f>Shallow_Input!C47</x:f>
        <x:v>0</x:v>
      </x:c>
      <x:c r="D47" s="16" t="n">
        <x:f>Shallow_Input!D47</x:f>
        <x:v>0</x:v>
      </x:c>
      <x:c r="E47" s="16" t="e">
        <x:f>IF(B47="S",1,Shallow_Input!E47)</x:f>
      </x:c>
      <x:c r="F47" s="16" t="n">
        <x:f>Shallow_Input!F47</x:f>
        <x:v>0</x:v>
      </x:c>
      <x:c r="G47" s="16" t="e">
        <x:f>LET(B0,D47,L0,E47,D0,F47,t,Shallow_Input!G47,Cx,Shallow_Input!H47,Cy,Shallow_Input!I47,Ox,Shallow_Input!J47,Oy,IF(B47="S",0,Shallow_Input!K47),dw,Shallow_Input!L47,Qc,Shallow_Input!M47,g1u,Shallow_Input!R47,g1sat,Shallow_Input!S47,gc,Shallow_Input!Z47,g1ave,IF(dw&gt;=D0,g1u,IF(dw&lt;=0,g1sat,(g1u*dw+g1sat*(D0-dw))/D0)),g1ave*MAX(B0*L0-Cx*Cy,0)*MAX(D0-t,0)+gc*Cx*Cy*MAX(D0-t,0)+t*B0*L0*gc+Qc)</x:f>
      </x:c>
      <x:c r="H47" s="16" t="e">
        <x:f>LET(shape,B47,B0,D47,L0,E47,D0,F47,dw,Shallow_Input!L47,g1u,Shallow_Input!R47,g1sat,Shallow_Input!S47,gw,Shallow_Input!AA47,g2u,Shallow_Input!V47,g2sat,Shallow_Input!W47,analysis,C47,c2,Shallow_Input!X47,phi1,Shallow_Input!U47,phi2,Shallow_Input!Y47,Bef,R47,Nq,V47,Nc,W47,Ny,X47,Fcs,Y47,Fqs,Z47,Fys,AA47,Fcd,AB47,Fqd,AC47,Fyd,AD47,Fci,AE47,Fqi,AF47,Fyi,AG47,g1ave,IF(dw&gt;=D0,g1u,IF(dw&lt;=0,g1sat,(g1u*dw+g1sat*(D0-dw))/D0)),g1eff,IF(dw&gt;=D0,g1u,IF(dw&lt;=0,g1sat-gw,(g1u*dw+(g1sat-gw)*(D0-dw))/D0)),g2width,IF(shape="S",B0,Bef),g2ave,IF(dw&gt;=D0+g2width,g2u,IF(dw&lt;=D0,g2sat,(g2u*(dw-D0)+g2sat*(g2width-(dw-D0)))/g2width)),g2eff,IF(dw&gt;=D0+g2width,g2u,IF(dw&lt;=D0,g2sat-gw,(g2u*(dw-D0)+(g2sat-gw)*(g2width-(dw-D0)))/g2width)),g1used,IF(analysis="T",g1ave,g1eff),g2used,IF(analysis="T",g2ave,g2eff),q,g1used*D0,c2*Nc*Fcs*Fcd*Fci+q*Nq*Fqs*Fqd*Fqi+0.5*Bef*g2used*Ny*Fys*Fyd*Fyi)</x:f>
      </x:c>
      <x:c r="I47" s="16" t="e">
        <x:f>H47/Shallow_Input!AB47</x:f>
      </x:c>
      <x:c r="J47" s="16" t="e">
        <x:f>H47*T47</x:f>
      </x:c>
      <x:c r="K47" s="16" t="e">
        <x:f>I47*T47</x:f>
      </x:c>
      <x:c r="L47" s="16" t="e">
        <x:f>G47/(D47*E47)*(1+6*N47/D47+6*O47/E47)</x:f>
      </x:c>
      <x:c r="M47" s="16" t="e">
        <x:f>G47/(D47*E47)*(1-6*N47/D47-6*O47/E47)</x:f>
      </x:c>
      <x:c r="N47" s="16" t="e">
        <x:f>ABS((Shallow_Input!Z47*Shallow_Input!H47*Shallow_Input!I47*MAX(Shallow_Input!F47-Shallow_Input!G47,0)+Shallow_Input!M47)*Shallow_Input!J47+Shallow_Input!P47*Shallow_Input!F47+Shallow_Input!O47)/G47</x:f>
      </x:c>
      <x:c r="O47" s="16" t="e">
        <x:f>ABS(((Shallow_Input!Z47*Shallow_Input!H47*Shallow_Input!I47*MAX(Shallow_Input!F47-Shallow_Input!G47,0)+Shallow_Input!M47)*IF(B47="S",0,Shallow_Input!K47)+Shallow_Input!Q47*Shallow_Input!F47+IF(B47="S",0,Shallow_Input!N47))/G47)</x:f>
      </x:c>
      <x:c r="P47" s="16" t="e">
        <x:f>D47-2*N47</x:f>
      </x:c>
      <x:c r="Q47" s="16" t="e">
        <x:f>E47-2*O47</x:f>
      </x:c>
      <x:c r="R47" s="16" t="e">
        <x:f>MAX(P47,0.000001)</x:f>
      </x:c>
      <x:c r="S47" s="16" t="e">
        <x:f>IF(B47="S",1,MAX(Q47,0.000001))</x:f>
      </x:c>
      <x:c r="T47" s="16" t="e">
        <x:f>R47*S47</x:f>
      </x:c>
      <x:c r="U47" s="16" t="e">
        <x:f>DEGREES(ATAN(SQRT(Shallow_Input!P47^2+Shallow_Input!Q47^2)/G47))</x:f>
      </x:c>
      <x:c r="V47" s="16" t="n">
        <x:f>EXP(PI()*TAN(RADIANS(Shallow_Input!Y47)))*TAN(PI()/4+RADIANS(Shallow_Input!Y47)/2)^2</x:f>
        <x:v>0.9999999999999998</x:v>
      </x:c>
      <x:c r="W47" s="16" t="n">
        <x:f>IF(ABS(TAN(RADIANS(Shallow_Input!Y47)))&gt;0.0000001,(V47-1)/TAN(RADIANS(Shallow_Input!Y47)),5.14)</x:f>
        <x:v>5.14</x:v>
      </x:c>
      <x:c r="X47" s="16" t="n">
        <x:f>2*(V47+1)*TAN(RADIANS(Shallow_Input!Y47))</x:f>
        <x:v>0</x:v>
      </x:c>
      <x:c r="Y47" s="16" t="e">
        <x:f>IF(B47="S",1,1+R47/S47*V47/MAX(W47,0.000001))</x:f>
      </x:c>
      <x:c r="Z47" s="16" t="e">
        <x:f>IF(B47="S",1,1+R47/S47*TAN(RADIANS(Shallow_Input!Y47)))</x:f>
      </x:c>
      <x:c r="AA47" s="16" t="e">
        <x:f>IF(B47="S",1,1-0.4*R47/S47)</x:f>
      </x:c>
      <x:c r="AB47" s="16" t="e">
        <x:f>1+0.4*IF(F47/MAX(R47,0.000001)&lt;=1,F47/MAX(R47,0.000001),ATAN(F47/MAX(R47,0.000001)))</x:f>
      </x:c>
      <x:c r="AC47" s="16" t="e">
        <x:f>1+2*TAN(RADIANS(Shallow_Input!U47))*(1-SIN(RADIANS(Shallow_Input!U47)))^2*IF(F47/MAX(R47,0.000001)&lt;=1,F47/MAX(R47,0.000001),ATAN(F47/MAX(R47,0.000001)))</x:f>
      </x:c>
      <x:c r="AD47" s="16" t="n">
        <x:f>1</x:f>
        <x:v>1</x:v>
      </x:c>
      <x:c r="AE47" s="16" t="e">
        <x:f>(1-U47/90)^2</x:f>
      </x:c>
      <x:c r="AF47" s="16" t="e">
        <x:f>(1-U47/90)^2</x:f>
      </x:c>
      <x:c r="AG47" s="16" t="n">
        <x:f>IF(Shallow_Input!Y47&gt;0,(1-U47/Shallow_Input!Y47)^2,1)</x:f>
        <x:v>1</x:v>
      </x:c>
      <x:c r="AH47" s="16" t="e">
        <x:f>J47/MAX(G47,0.000001)</x:f>
      </x:c>
      <x:c r="AI47" s="16" t="e">
        <x:f>H47/MAX(L47,0.000001)</x:f>
      </x:c>
      <x:c r="AJ47" s="16" t="e">
        <x:f>IF(K47&gt;=G47,"OK","NG")</x:f>
      </x:c>
      <x:c r="AK47" s="16" t="e">
        <x:f>IF(I47&gt;=L47,"OK","NG")</x:f>
      </x:c>
      <x:c r="AL47" s="16" t="e">
        <x:f>IF(M47&gt;=0,"OK","NG")</x:f>
      </x:c>
      <x:c r="AM47" s="16" t="e">
        <x:f>IF(F47/MAX(R47,0.000001)&lt;=1,"Shallow","Deep")</x:f>
      </x:c>
    </x:row>
    <x:row r="48">
      <x:c r="A48" s="16" t="n">
        <x:f>Shallow_Input!A48</x:f>
        <x:v>0</x:v>
      </x:c>
      <x:c r="B48" s="16" t="n">
        <x:f>Shallow_Input!B48</x:f>
        <x:v>0</x:v>
      </x:c>
      <x:c r="C48" s="16" t="n">
        <x:f>Shallow_Input!C48</x:f>
        <x:v>0</x:v>
      </x:c>
      <x:c r="D48" s="16" t="n">
        <x:f>Shallow_Input!D48</x:f>
        <x:v>0</x:v>
      </x:c>
      <x:c r="E48" s="16" t="e">
        <x:f>IF(B48="S",1,Shallow_Input!E48)</x:f>
      </x:c>
      <x:c r="F48" s="16" t="n">
        <x:f>Shallow_Input!F48</x:f>
        <x:v>0</x:v>
      </x:c>
      <x:c r="G48" s="16" t="e">
        <x:f>LET(B0,D48,L0,E48,D0,F48,t,Shallow_Input!G48,Cx,Shallow_Input!H48,Cy,Shallow_Input!I48,Ox,Shallow_Input!J48,Oy,IF(B48="S",0,Shallow_Input!K48),dw,Shallow_Input!L48,Qc,Shallow_Input!M48,g1u,Shallow_Input!R48,g1sat,Shallow_Input!S48,gc,Shallow_Input!Z48,g1ave,IF(dw&gt;=D0,g1u,IF(dw&lt;=0,g1sat,(g1u*dw+g1sat*(D0-dw))/D0)),g1ave*MAX(B0*L0-Cx*Cy,0)*MAX(D0-t,0)+gc*Cx*Cy*MAX(D0-t,0)+t*B0*L0*gc+Qc)</x:f>
      </x:c>
      <x:c r="H48" s="16" t="e">
        <x:f>LET(shape,B48,B0,D48,L0,E48,D0,F48,dw,Shallow_Input!L48,g1u,Shallow_Input!R48,g1sat,Shallow_Input!S48,gw,Shallow_Input!AA48,g2u,Shallow_Input!V48,g2sat,Shallow_Input!W48,analysis,C48,c2,Shallow_Input!X48,phi1,Shallow_Input!U48,phi2,Shallow_Input!Y48,Bef,R48,Nq,V48,Nc,W48,Ny,X48,Fcs,Y48,Fqs,Z48,Fys,AA48,Fcd,AB48,Fqd,AC48,Fyd,AD48,Fci,AE48,Fqi,AF48,Fyi,AG48,g1ave,IF(dw&gt;=D0,g1u,IF(dw&lt;=0,g1sat,(g1u*dw+g1sat*(D0-dw))/D0)),g1eff,IF(dw&gt;=D0,g1u,IF(dw&lt;=0,g1sat-gw,(g1u*dw+(g1sat-gw)*(D0-dw))/D0)),g2width,IF(shape="S",B0,Bef),g2ave,IF(dw&gt;=D0+g2width,g2u,IF(dw&lt;=D0,g2sat,(g2u*(dw-D0)+g2sat*(g2width-(dw-D0)))/g2width)),g2eff,IF(dw&gt;=D0+g2width,g2u,IF(dw&lt;=D0,g2sat-gw,(g2u*(dw-D0)+(g2sat-gw)*(g2width-(dw-D0)))/g2width)),g1used,IF(analysis="T",g1ave,g1eff),g2used,IF(analysis="T",g2ave,g2eff),q,g1used*D0,c2*Nc*Fcs*Fcd*Fci+q*Nq*Fqs*Fqd*Fqi+0.5*Bef*g2used*Ny*Fys*Fyd*Fyi)</x:f>
      </x:c>
      <x:c r="I48" s="16" t="e">
        <x:f>H48/Shallow_Input!AB48</x:f>
      </x:c>
      <x:c r="J48" s="16" t="e">
        <x:f>H48*T48</x:f>
      </x:c>
      <x:c r="K48" s="16" t="e">
        <x:f>I48*T48</x:f>
      </x:c>
      <x:c r="L48" s="16" t="e">
        <x:f>G48/(D48*E48)*(1+6*N48/D48+6*O48/E48)</x:f>
      </x:c>
      <x:c r="M48" s="16" t="e">
        <x:f>G48/(D48*E48)*(1-6*N48/D48-6*O48/E48)</x:f>
      </x:c>
      <x:c r="N48" s="16" t="e">
        <x:f>ABS((Shallow_Input!Z48*Shallow_Input!H48*Shallow_Input!I48*MAX(Shallow_Input!F48-Shallow_Input!G48,0)+Shallow_Input!M48)*Shallow_Input!J48+Shallow_Input!P48*Shallow_Input!F48+Shallow_Input!O48)/G48</x:f>
      </x:c>
      <x:c r="O48" s="16" t="e">
        <x:f>ABS(((Shallow_Input!Z48*Shallow_Input!H48*Shallow_Input!I48*MAX(Shallow_Input!F48-Shallow_Input!G48,0)+Shallow_Input!M48)*IF(B48="S",0,Shallow_Input!K48)+Shallow_Input!Q48*Shallow_Input!F48+IF(B48="S",0,Shallow_Input!N48))/G48)</x:f>
      </x:c>
      <x:c r="P48" s="16" t="e">
        <x:f>D48-2*N48</x:f>
      </x:c>
      <x:c r="Q48" s="16" t="e">
        <x:f>E48-2*O48</x:f>
      </x:c>
      <x:c r="R48" s="16" t="e">
        <x:f>MAX(P48,0.000001)</x:f>
      </x:c>
      <x:c r="S48" s="16" t="e">
        <x:f>IF(B48="S",1,MAX(Q48,0.000001))</x:f>
      </x:c>
      <x:c r="T48" s="16" t="e">
        <x:f>R48*S48</x:f>
      </x:c>
      <x:c r="U48" s="16" t="e">
        <x:f>DEGREES(ATAN(SQRT(Shallow_Input!P48^2+Shallow_Input!Q48^2)/G48))</x:f>
      </x:c>
      <x:c r="V48" s="16" t="n">
        <x:f>EXP(PI()*TAN(RADIANS(Shallow_Input!Y48)))*TAN(PI()/4+RADIANS(Shallow_Input!Y48)/2)^2</x:f>
        <x:v>0.9999999999999998</x:v>
      </x:c>
      <x:c r="W48" s="16" t="n">
        <x:f>IF(ABS(TAN(RADIANS(Shallow_Input!Y48)))&gt;0.0000001,(V48-1)/TAN(RADIANS(Shallow_Input!Y48)),5.14)</x:f>
        <x:v>5.14</x:v>
      </x:c>
      <x:c r="X48" s="16" t="n">
        <x:f>2*(V48+1)*TAN(RADIANS(Shallow_Input!Y48))</x:f>
        <x:v>0</x:v>
      </x:c>
      <x:c r="Y48" s="16" t="e">
        <x:f>IF(B48="S",1,1+R48/S48*V48/MAX(W48,0.000001))</x:f>
      </x:c>
      <x:c r="Z48" s="16" t="e">
        <x:f>IF(B48="S",1,1+R48/S48*TAN(RADIANS(Shallow_Input!Y48)))</x:f>
      </x:c>
      <x:c r="AA48" s="16" t="e">
        <x:f>IF(B48="S",1,1-0.4*R48/S48)</x:f>
      </x:c>
      <x:c r="AB48" s="16" t="e">
        <x:f>1+0.4*IF(F48/MAX(R48,0.000001)&lt;=1,F48/MAX(R48,0.000001),ATAN(F48/MAX(R48,0.000001)))</x:f>
      </x:c>
      <x:c r="AC48" s="16" t="e">
        <x:f>1+2*TAN(RADIANS(Shallow_Input!U48))*(1-SIN(RADIANS(Shallow_Input!U48)))^2*IF(F48/MAX(R48,0.000001)&lt;=1,F48/MAX(R48,0.000001),ATAN(F48/MAX(R48,0.000001)))</x:f>
      </x:c>
      <x:c r="AD48" s="16" t="n">
        <x:f>1</x:f>
        <x:v>1</x:v>
      </x:c>
      <x:c r="AE48" s="16" t="e">
        <x:f>(1-U48/90)^2</x:f>
      </x:c>
      <x:c r="AF48" s="16" t="e">
        <x:f>(1-U48/90)^2</x:f>
      </x:c>
      <x:c r="AG48" s="16" t="n">
        <x:f>IF(Shallow_Input!Y48&gt;0,(1-U48/Shallow_Input!Y48)^2,1)</x:f>
        <x:v>1</x:v>
      </x:c>
      <x:c r="AH48" s="16" t="e">
        <x:f>J48/MAX(G48,0.000001)</x:f>
      </x:c>
      <x:c r="AI48" s="16" t="e">
        <x:f>H48/MAX(L48,0.000001)</x:f>
      </x:c>
      <x:c r="AJ48" s="16" t="e">
        <x:f>IF(K48&gt;=G48,"OK","NG")</x:f>
      </x:c>
      <x:c r="AK48" s="16" t="e">
        <x:f>IF(I48&gt;=L48,"OK","NG")</x:f>
      </x:c>
      <x:c r="AL48" s="16" t="e">
        <x:f>IF(M48&gt;=0,"OK","NG")</x:f>
      </x:c>
      <x:c r="AM48" s="16" t="e">
        <x:f>IF(F48/MAX(R48,0.000001)&lt;=1,"Shallow","Deep")</x:f>
      </x:c>
    </x:row>
    <x:row r="49">
      <x:c r="A49" s="16" t="n">
        <x:f>Shallow_Input!A49</x:f>
        <x:v>0</x:v>
      </x:c>
      <x:c r="B49" s="16" t="n">
        <x:f>Shallow_Input!B49</x:f>
        <x:v>0</x:v>
      </x:c>
      <x:c r="C49" s="16" t="n">
        <x:f>Shallow_Input!C49</x:f>
        <x:v>0</x:v>
      </x:c>
      <x:c r="D49" s="16" t="n">
        <x:f>Shallow_Input!D49</x:f>
        <x:v>0</x:v>
      </x:c>
      <x:c r="E49" s="16" t="e">
        <x:f>IF(B49="S",1,Shallow_Input!E49)</x:f>
      </x:c>
      <x:c r="F49" s="16" t="n">
        <x:f>Shallow_Input!F49</x:f>
        <x:v>0</x:v>
      </x:c>
      <x:c r="G49" s="16" t="e">
        <x:f>LET(B0,D49,L0,E49,D0,F49,t,Shallow_Input!G49,Cx,Shallow_Input!H49,Cy,Shallow_Input!I49,Ox,Shallow_Input!J49,Oy,IF(B49="S",0,Shallow_Input!K49),dw,Shallow_Input!L49,Qc,Shallow_Input!M49,g1u,Shallow_Input!R49,g1sat,Shallow_Input!S49,gc,Shallow_Input!Z49,g1ave,IF(dw&gt;=D0,g1u,IF(dw&lt;=0,g1sat,(g1u*dw+g1sat*(D0-dw))/D0)),g1ave*MAX(B0*L0-Cx*Cy,0)*MAX(D0-t,0)+gc*Cx*Cy*MAX(D0-t,0)+t*B0*L0*gc+Qc)</x:f>
      </x:c>
      <x:c r="H49" s="16" t="e">
        <x:f>LET(shape,B49,B0,D49,L0,E49,D0,F49,dw,Shallow_Input!L49,g1u,Shallow_Input!R49,g1sat,Shallow_Input!S49,gw,Shallow_Input!AA49,g2u,Shallow_Input!V49,g2sat,Shallow_Input!W49,analysis,C49,c2,Shallow_Input!X49,phi1,Shallow_Input!U49,phi2,Shallow_Input!Y49,Bef,R49,Nq,V49,Nc,W49,Ny,X49,Fcs,Y49,Fqs,Z49,Fys,AA49,Fcd,AB49,Fqd,AC49,Fyd,AD49,Fci,AE49,Fqi,AF49,Fyi,AG49,g1ave,IF(dw&gt;=D0,g1u,IF(dw&lt;=0,g1sat,(g1u*dw+g1sat*(D0-dw))/D0)),g1eff,IF(dw&gt;=D0,g1u,IF(dw&lt;=0,g1sat-gw,(g1u*dw+(g1sat-gw)*(D0-dw))/D0)),g2width,IF(shape="S",B0,Bef),g2ave,IF(dw&gt;=D0+g2width,g2u,IF(dw&lt;=D0,g2sat,(g2u*(dw-D0)+g2sat*(g2width-(dw-D0)))/g2width)),g2eff,IF(dw&gt;=D0+g2width,g2u,IF(dw&lt;=D0,g2sat-gw,(g2u*(dw-D0)+(g2sat-gw)*(g2width-(dw-D0)))/g2width)),g1used,IF(analysis="T",g1ave,g1eff),g2used,IF(analysis="T",g2ave,g2eff),q,g1used*D0,c2*Nc*Fcs*Fcd*Fci+q*Nq*Fqs*Fqd*Fqi+0.5*Bef*g2used*Ny*Fys*Fyd*Fyi)</x:f>
      </x:c>
      <x:c r="I49" s="16" t="e">
        <x:f>H49/Shallow_Input!AB49</x:f>
      </x:c>
      <x:c r="J49" s="16" t="e">
        <x:f>H49*T49</x:f>
      </x:c>
      <x:c r="K49" s="16" t="e">
        <x:f>I49*T49</x:f>
      </x:c>
      <x:c r="L49" s="16" t="e">
        <x:f>G49/(D49*E49)*(1+6*N49/D49+6*O49/E49)</x:f>
      </x:c>
      <x:c r="M49" s="16" t="e">
        <x:f>G49/(D49*E49)*(1-6*N49/D49-6*O49/E49)</x:f>
      </x:c>
      <x:c r="N49" s="16" t="e">
        <x:f>ABS((Shallow_Input!Z49*Shallow_Input!H49*Shallow_Input!I49*MAX(Shallow_Input!F49-Shallow_Input!G49,0)+Shallow_Input!M49)*Shallow_Input!J49+Shallow_Input!P49*Shallow_Input!F49+Shallow_Input!O49)/G49</x:f>
      </x:c>
      <x:c r="O49" s="16" t="e">
        <x:f>ABS(((Shallow_Input!Z49*Shallow_Input!H49*Shallow_Input!I49*MAX(Shallow_Input!F49-Shallow_Input!G49,0)+Shallow_Input!M49)*IF(B49="S",0,Shallow_Input!K49)+Shallow_Input!Q49*Shallow_Input!F49+IF(B49="S",0,Shallow_Input!N49))/G49)</x:f>
      </x:c>
      <x:c r="P49" s="16" t="e">
        <x:f>D49-2*N49</x:f>
      </x:c>
      <x:c r="Q49" s="16" t="e">
        <x:f>E49-2*O49</x:f>
      </x:c>
      <x:c r="R49" s="16" t="e">
        <x:f>MAX(P49,0.000001)</x:f>
      </x:c>
      <x:c r="S49" s="16" t="e">
        <x:f>IF(B49="S",1,MAX(Q49,0.000001))</x:f>
      </x:c>
      <x:c r="T49" s="16" t="e">
        <x:f>R49*S49</x:f>
      </x:c>
      <x:c r="U49" s="16" t="e">
        <x:f>DEGREES(ATAN(SQRT(Shallow_Input!P49^2+Shallow_Input!Q49^2)/G49))</x:f>
      </x:c>
      <x:c r="V49" s="16" t="n">
        <x:f>EXP(PI()*TAN(RADIANS(Shallow_Input!Y49)))*TAN(PI()/4+RADIANS(Shallow_Input!Y49)/2)^2</x:f>
        <x:v>0.9999999999999998</x:v>
      </x:c>
      <x:c r="W49" s="16" t="n">
        <x:f>IF(ABS(TAN(RADIANS(Shallow_Input!Y49)))&gt;0.0000001,(V49-1)/TAN(RADIANS(Shallow_Input!Y49)),5.14)</x:f>
        <x:v>5.14</x:v>
      </x:c>
      <x:c r="X49" s="16" t="n">
        <x:f>2*(V49+1)*TAN(RADIANS(Shallow_Input!Y49))</x:f>
        <x:v>0</x:v>
      </x:c>
      <x:c r="Y49" s="16" t="e">
        <x:f>IF(B49="S",1,1+R49/S49*V49/MAX(W49,0.000001))</x:f>
      </x:c>
      <x:c r="Z49" s="16" t="e">
        <x:f>IF(B49="S",1,1+R49/S49*TAN(RADIANS(Shallow_Input!Y49)))</x:f>
      </x:c>
      <x:c r="AA49" s="16" t="e">
        <x:f>IF(B49="S",1,1-0.4*R49/S49)</x:f>
      </x:c>
      <x:c r="AB49" s="16" t="e">
        <x:f>1+0.4*IF(F49/MAX(R49,0.000001)&lt;=1,F49/MAX(R49,0.000001),ATAN(F49/MAX(R49,0.000001)))</x:f>
      </x:c>
      <x:c r="AC49" s="16" t="e">
        <x:f>1+2*TAN(RADIANS(Shallow_Input!U49))*(1-SIN(RADIANS(Shallow_Input!U49)))^2*IF(F49/MAX(R49,0.000001)&lt;=1,F49/MAX(R49,0.000001),ATAN(F49/MAX(R49,0.000001)))</x:f>
      </x:c>
      <x:c r="AD49" s="16" t="n">
        <x:f>1</x:f>
        <x:v>1</x:v>
      </x:c>
      <x:c r="AE49" s="16" t="e">
        <x:f>(1-U49/90)^2</x:f>
      </x:c>
      <x:c r="AF49" s="16" t="e">
        <x:f>(1-U49/90)^2</x:f>
      </x:c>
      <x:c r="AG49" s="16" t="n">
        <x:f>IF(Shallow_Input!Y49&gt;0,(1-U49/Shallow_Input!Y49)^2,1)</x:f>
        <x:v>1</x:v>
      </x:c>
      <x:c r="AH49" s="16" t="e">
        <x:f>J49/MAX(G49,0.000001)</x:f>
      </x:c>
      <x:c r="AI49" s="16" t="e">
        <x:f>H49/MAX(L49,0.000001)</x:f>
      </x:c>
      <x:c r="AJ49" s="16" t="e">
        <x:f>IF(K49&gt;=G49,"OK","NG")</x:f>
      </x:c>
      <x:c r="AK49" s="16" t="e">
        <x:f>IF(I49&gt;=L49,"OK","NG")</x:f>
      </x:c>
      <x:c r="AL49" s="16" t="e">
        <x:f>IF(M49&gt;=0,"OK","NG")</x:f>
      </x:c>
      <x:c r="AM49" s="16" t="e">
        <x:f>IF(F49/MAX(R49,0.000001)&lt;=1,"Shallow","Deep")</x:f>
      </x:c>
    </x:row>
    <x:row r="50">
      <x:c r="A50" s="16" t="n">
        <x:f>Shallow_Input!A50</x:f>
        <x:v>0</x:v>
      </x:c>
      <x:c r="B50" s="16" t="n">
        <x:f>Shallow_Input!B50</x:f>
        <x:v>0</x:v>
      </x:c>
      <x:c r="C50" s="16" t="n">
        <x:f>Shallow_Input!C50</x:f>
        <x:v>0</x:v>
      </x:c>
      <x:c r="D50" s="16" t="n">
        <x:f>Shallow_Input!D50</x:f>
        <x:v>0</x:v>
      </x:c>
      <x:c r="E50" s="16" t="e">
        <x:f>IF(B50="S",1,Shallow_Input!E50)</x:f>
      </x:c>
      <x:c r="F50" s="16" t="n">
        <x:f>Shallow_Input!F50</x:f>
        <x:v>0</x:v>
      </x:c>
      <x:c r="G50" s="16" t="e">
        <x:f>LET(B0,D50,L0,E50,D0,F50,t,Shallow_Input!G50,Cx,Shallow_Input!H50,Cy,Shallow_Input!I50,Ox,Shallow_Input!J50,Oy,IF(B50="S",0,Shallow_Input!K50),dw,Shallow_Input!L50,Qc,Shallow_Input!M50,g1u,Shallow_Input!R50,g1sat,Shallow_Input!S50,gc,Shallow_Input!Z50,g1ave,IF(dw&gt;=D0,g1u,IF(dw&lt;=0,g1sat,(g1u*dw+g1sat*(D0-dw))/D0)),g1ave*MAX(B0*L0-Cx*Cy,0)*MAX(D0-t,0)+gc*Cx*Cy*MAX(D0-t,0)+t*B0*L0*gc+Qc)</x:f>
      </x:c>
      <x:c r="H50" s="16" t="e">
        <x:f>LET(shape,B50,B0,D50,L0,E50,D0,F50,dw,Shallow_Input!L50,g1u,Shallow_Input!R50,g1sat,Shallow_Input!S50,gw,Shallow_Input!AA50,g2u,Shallow_Input!V50,g2sat,Shallow_Input!W50,analysis,C50,c2,Shallow_Input!X50,phi1,Shallow_Input!U50,phi2,Shallow_Input!Y50,Bef,R50,Nq,V50,Nc,W50,Ny,X50,Fcs,Y50,Fqs,Z50,Fys,AA50,Fcd,AB50,Fqd,AC50,Fyd,AD50,Fci,AE50,Fqi,AF50,Fyi,AG50,g1ave,IF(dw&gt;=D0,g1u,IF(dw&lt;=0,g1sat,(g1u*dw+g1sat*(D0-dw))/D0)),g1eff,IF(dw&gt;=D0,g1u,IF(dw&lt;=0,g1sat-gw,(g1u*dw+(g1sat-gw)*(D0-dw))/D0)),g2width,IF(shape="S",B0,Bef),g2ave,IF(dw&gt;=D0+g2width,g2u,IF(dw&lt;=D0,g2sat,(g2u*(dw-D0)+g2sat*(g2width-(dw-D0)))/g2width)),g2eff,IF(dw&gt;=D0+g2width,g2u,IF(dw&lt;=D0,g2sat-gw,(g2u*(dw-D0)+(g2sat-gw)*(g2width-(dw-D0)))/g2width)),g1used,IF(analysis="T",g1ave,g1eff),g2used,IF(analysis="T",g2ave,g2eff),q,g1used*D0,c2*Nc*Fcs*Fcd*Fci+q*Nq*Fqs*Fqd*Fqi+0.5*Bef*g2used*Ny*Fys*Fyd*Fyi)</x:f>
      </x:c>
      <x:c r="I50" s="16" t="e">
        <x:f>H50/Shallow_Input!AB50</x:f>
      </x:c>
      <x:c r="J50" s="16" t="e">
        <x:f>H50*T50</x:f>
      </x:c>
      <x:c r="K50" s="16" t="e">
        <x:f>I50*T50</x:f>
      </x:c>
      <x:c r="L50" s="16" t="e">
        <x:f>G50/(D50*E50)*(1+6*N50/D50+6*O50/E50)</x:f>
      </x:c>
      <x:c r="M50" s="16" t="e">
        <x:f>G50/(D50*E50)*(1-6*N50/D50-6*O50/E50)</x:f>
      </x:c>
      <x:c r="N50" s="16" t="e">
        <x:f>ABS((Shallow_Input!Z50*Shallow_Input!H50*Shallow_Input!I50*MAX(Shallow_Input!F50-Shallow_Input!G50,0)+Shallow_Input!M50)*Shallow_Input!J50+Shallow_Input!P50*Shallow_Input!F50+Shallow_Input!O50)/G50</x:f>
      </x:c>
      <x:c r="O50" s="16" t="e">
        <x:f>ABS(((Shallow_Input!Z50*Shallow_Input!H50*Shallow_Input!I50*MAX(Shallow_Input!F50-Shallow_Input!G50,0)+Shallow_Input!M50)*IF(B50="S",0,Shallow_Input!K50)+Shallow_Input!Q50*Shallow_Input!F50+IF(B50="S",0,Shallow_Input!N50))/G50)</x:f>
      </x:c>
      <x:c r="P50" s="16" t="e">
        <x:f>D50-2*N50</x:f>
      </x:c>
      <x:c r="Q50" s="16" t="e">
        <x:f>E50-2*O50</x:f>
      </x:c>
      <x:c r="R50" s="16" t="e">
        <x:f>MAX(P50,0.000001)</x:f>
      </x:c>
      <x:c r="S50" s="16" t="e">
        <x:f>IF(B50="S",1,MAX(Q50,0.000001))</x:f>
      </x:c>
      <x:c r="T50" s="16" t="e">
        <x:f>R50*S50</x:f>
      </x:c>
      <x:c r="U50" s="16" t="e">
        <x:f>DEGREES(ATAN(SQRT(Shallow_Input!P50^2+Shallow_Input!Q50^2)/G50))</x:f>
      </x:c>
      <x:c r="V50" s="16" t="n">
        <x:f>EXP(PI()*TAN(RADIANS(Shallow_Input!Y50)))*TAN(PI()/4+RADIANS(Shallow_Input!Y50)/2)^2</x:f>
        <x:v>0.9999999999999998</x:v>
      </x:c>
      <x:c r="W50" s="16" t="n">
        <x:f>IF(ABS(TAN(RADIANS(Shallow_Input!Y50)))&gt;0.0000001,(V50-1)/TAN(RADIANS(Shallow_Input!Y50)),5.14)</x:f>
        <x:v>5.14</x:v>
      </x:c>
      <x:c r="X50" s="16" t="n">
        <x:f>2*(V50+1)*TAN(RADIANS(Shallow_Input!Y50))</x:f>
        <x:v>0</x:v>
      </x:c>
      <x:c r="Y50" s="16" t="e">
        <x:f>IF(B50="S",1,1+R50/S50*V50/MAX(W50,0.000001))</x:f>
      </x:c>
      <x:c r="Z50" s="16" t="e">
        <x:f>IF(B50="S",1,1+R50/S50*TAN(RADIANS(Shallow_Input!Y50)))</x:f>
      </x:c>
      <x:c r="AA50" s="16" t="e">
        <x:f>IF(B50="S",1,1-0.4*R50/S50)</x:f>
      </x:c>
      <x:c r="AB50" s="16" t="e">
        <x:f>1+0.4*IF(F50/MAX(R50,0.000001)&lt;=1,F50/MAX(R50,0.000001),ATAN(F50/MAX(R50,0.000001)))</x:f>
      </x:c>
      <x:c r="AC50" s="16" t="e">
        <x:f>1+2*TAN(RADIANS(Shallow_Input!U50))*(1-SIN(RADIANS(Shallow_Input!U50)))^2*IF(F50/MAX(R50,0.000001)&lt;=1,F50/MAX(R50,0.000001),ATAN(F50/MAX(R50,0.000001)))</x:f>
      </x:c>
      <x:c r="AD50" s="16" t="n">
        <x:f>1</x:f>
        <x:v>1</x:v>
      </x:c>
      <x:c r="AE50" s="16" t="e">
        <x:f>(1-U50/90)^2</x:f>
      </x:c>
      <x:c r="AF50" s="16" t="e">
        <x:f>(1-U50/90)^2</x:f>
      </x:c>
      <x:c r="AG50" s="16" t="n">
        <x:f>IF(Shallow_Input!Y50&gt;0,(1-U50/Shallow_Input!Y50)^2,1)</x:f>
        <x:v>1</x:v>
      </x:c>
      <x:c r="AH50" s="16" t="e">
        <x:f>J50/MAX(G50,0.000001)</x:f>
      </x:c>
      <x:c r="AI50" s="16" t="e">
        <x:f>H50/MAX(L50,0.000001)</x:f>
      </x:c>
      <x:c r="AJ50" s="16" t="e">
        <x:f>IF(K50&gt;=G50,"OK","NG")</x:f>
      </x:c>
      <x:c r="AK50" s="16" t="e">
        <x:f>IF(I50&gt;=L50,"OK","NG")</x:f>
      </x:c>
      <x:c r="AL50" s="16" t="e">
        <x:f>IF(M50&gt;=0,"OK","NG")</x:f>
      </x:c>
      <x:c r="AM50" s="16" t="e">
        <x:f>IF(F50/MAX(R50,0.000001)&lt;=1,"Shallow","Deep")</x:f>
      </x:c>
    </x:row>
    <x:row r="51">
      <x:c r="A51" s="16" t="n">
        <x:f>Shallow_Input!A51</x:f>
        <x:v>0</x:v>
      </x:c>
      <x:c r="B51" s="16" t="n">
        <x:f>Shallow_Input!B51</x:f>
        <x:v>0</x:v>
      </x:c>
      <x:c r="C51" s="16" t="n">
        <x:f>Shallow_Input!C51</x:f>
        <x:v>0</x:v>
      </x:c>
      <x:c r="D51" s="16" t="n">
        <x:f>Shallow_Input!D51</x:f>
        <x:v>0</x:v>
      </x:c>
      <x:c r="E51" s="16" t="e">
        <x:f>IF(B51="S",1,Shallow_Input!E51)</x:f>
      </x:c>
      <x:c r="F51" s="16" t="n">
        <x:f>Shallow_Input!F51</x:f>
        <x:v>0</x:v>
      </x:c>
      <x:c r="G51" s="16" t="e">
        <x:f>LET(B0,D51,L0,E51,D0,F51,t,Shallow_Input!G51,Cx,Shallow_Input!H51,Cy,Shallow_Input!I51,Ox,Shallow_Input!J51,Oy,IF(B51="S",0,Shallow_Input!K51),dw,Shallow_Input!L51,Qc,Shallow_Input!M51,g1u,Shallow_Input!R51,g1sat,Shallow_Input!S51,gc,Shallow_Input!Z51,g1ave,IF(dw&gt;=D0,g1u,IF(dw&lt;=0,g1sat,(g1u*dw+g1sat*(D0-dw))/D0)),g1ave*MAX(B0*L0-Cx*Cy,0)*MAX(D0-t,0)+gc*Cx*Cy*MAX(D0-t,0)+t*B0*L0*gc+Qc)</x:f>
      </x:c>
      <x:c r="H51" s="16" t="e">
        <x:f>LET(shape,B51,B0,D51,L0,E51,D0,F51,dw,Shallow_Input!L51,g1u,Shallow_Input!R51,g1sat,Shallow_Input!S51,gw,Shallow_Input!AA51,g2u,Shallow_Input!V51,g2sat,Shallow_Input!W51,analysis,C51,c2,Shallow_Input!X51,phi1,Shallow_Input!U51,phi2,Shallow_Input!Y51,Bef,R51,Nq,V51,Nc,W51,Ny,X51,Fcs,Y51,Fqs,Z51,Fys,AA51,Fcd,AB51,Fqd,AC51,Fyd,AD51,Fci,AE51,Fqi,AF51,Fyi,AG51,g1ave,IF(dw&gt;=D0,g1u,IF(dw&lt;=0,g1sat,(g1u*dw+g1sat*(D0-dw))/D0)),g1eff,IF(dw&gt;=D0,g1u,IF(dw&lt;=0,g1sat-gw,(g1u*dw+(g1sat-gw)*(D0-dw))/D0)),g2width,IF(shape="S",B0,Bef),g2ave,IF(dw&gt;=D0+g2width,g2u,IF(dw&lt;=D0,g2sat,(g2u*(dw-D0)+g2sat*(g2width-(dw-D0)))/g2width)),g2eff,IF(dw&gt;=D0+g2width,g2u,IF(dw&lt;=D0,g2sat-gw,(g2u*(dw-D0)+(g2sat-gw)*(g2width-(dw-D0)))/g2width)),g1used,IF(analysis="T",g1ave,g1eff),g2used,IF(analysis="T",g2ave,g2eff),q,g1used*D0,c2*Nc*Fcs*Fcd*Fci+q*Nq*Fqs*Fqd*Fqi+0.5*Bef*g2used*Ny*Fys*Fyd*Fyi)</x:f>
      </x:c>
      <x:c r="I51" s="16" t="e">
        <x:f>H51/Shallow_Input!AB51</x:f>
      </x:c>
      <x:c r="J51" s="16" t="e">
        <x:f>H51*T51</x:f>
      </x:c>
      <x:c r="K51" s="16" t="e">
        <x:f>I51*T51</x:f>
      </x:c>
      <x:c r="L51" s="16" t="e">
        <x:f>G51/(D51*E51)*(1+6*N51/D51+6*O51/E51)</x:f>
      </x:c>
      <x:c r="M51" s="16" t="e">
        <x:f>G51/(D51*E51)*(1-6*N51/D51-6*O51/E51)</x:f>
      </x:c>
      <x:c r="N51" s="16" t="e">
        <x:f>ABS((Shallow_Input!Z51*Shallow_Input!H51*Shallow_Input!I51*MAX(Shallow_Input!F51-Shallow_Input!G51,0)+Shallow_Input!M51)*Shallow_Input!J51+Shallow_Input!P51*Shallow_Input!F51+Shallow_Input!O51)/G51</x:f>
      </x:c>
      <x:c r="O51" s="16" t="e">
        <x:f>ABS(((Shallow_Input!Z51*Shallow_Input!H51*Shallow_Input!I51*MAX(Shallow_Input!F51-Shallow_Input!G51,0)+Shallow_Input!M51)*IF(B51="S",0,Shallow_Input!K51)+Shallow_Input!Q51*Shallow_Input!F51+IF(B51="S",0,Shallow_Input!N51))/G51)</x:f>
      </x:c>
      <x:c r="P51" s="16" t="e">
        <x:f>D51-2*N51</x:f>
      </x:c>
      <x:c r="Q51" s="16" t="e">
        <x:f>E51-2*O51</x:f>
      </x:c>
      <x:c r="R51" s="16" t="e">
        <x:f>MAX(P51,0.000001)</x:f>
      </x:c>
      <x:c r="S51" s="16" t="e">
        <x:f>IF(B51="S",1,MAX(Q51,0.000001))</x:f>
      </x:c>
      <x:c r="T51" s="16" t="e">
        <x:f>R51*S51</x:f>
      </x:c>
      <x:c r="U51" s="16" t="e">
        <x:f>DEGREES(ATAN(SQRT(Shallow_Input!P51^2+Shallow_Input!Q51^2)/G51))</x:f>
      </x:c>
      <x:c r="V51" s="16" t="n">
        <x:f>EXP(PI()*TAN(RADIANS(Shallow_Input!Y51)))*TAN(PI()/4+RADIANS(Shallow_Input!Y51)/2)^2</x:f>
        <x:v>0.9999999999999998</x:v>
      </x:c>
      <x:c r="W51" s="16" t="n">
        <x:f>IF(ABS(TAN(RADIANS(Shallow_Input!Y51)))&gt;0.0000001,(V51-1)/TAN(RADIANS(Shallow_Input!Y51)),5.14)</x:f>
        <x:v>5.14</x:v>
      </x:c>
      <x:c r="X51" s="16" t="n">
        <x:f>2*(V51+1)*TAN(RADIANS(Shallow_Input!Y51))</x:f>
        <x:v>0</x:v>
      </x:c>
      <x:c r="Y51" s="16" t="e">
        <x:f>IF(B51="S",1,1+R51/S51*V51/MAX(W51,0.000001))</x:f>
      </x:c>
      <x:c r="Z51" s="16" t="e">
        <x:f>IF(B51="S",1,1+R51/S51*TAN(RADIANS(Shallow_Input!Y51)))</x:f>
      </x:c>
      <x:c r="AA51" s="16" t="e">
        <x:f>IF(B51="S",1,1-0.4*R51/S51)</x:f>
      </x:c>
      <x:c r="AB51" s="16" t="e">
        <x:f>1+0.4*IF(F51/MAX(R51,0.000001)&lt;=1,F51/MAX(R51,0.000001),ATAN(F51/MAX(R51,0.000001)))</x:f>
      </x:c>
      <x:c r="AC51" s="16" t="e">
        <x:f>1+2*TAN(RADIANS(Shallow_Input!U51))*(1-SIN(RADIANS(Shallow_Input!U51)))^2*IF(F51/MAX(R51,0.000001)&lt;=1,F51/MAX(R51,0.000001),ATAN(F51/MAX(R51,0.000001)))</x:f>
      </x:c>
      <x:c r="AD51" s="16" t="n">
        <x:f>1</x:f>
        <x:v>1</x:v>
      </x:c>
      <x:c r="AE51" s="16" t="e">
        <x:f>(1-U51/90)^2</x:f>
      </x:c>
      <x:c r="AF51" s="16" t="e">
        <x:f>(1-U51/90)^2</x:f>
      </x:c>
      <x:c r="AG51" s="16" t="n">
        <x:f>IF(Shallow_Input!Y51&gt;0,(1-U51/Shallow_Input!Y51)^2,1)</x:f>
        <x:v>1</x:v>
      </x:c>
      <x:c r="AH51" s="16" t="e">
        <x:f>J51/MAX(G51,0.000001)</x:f>
      </x:c>
      <x:c r="AI51" s="16" t="e">
        <x:f>H51/MAX(L51,0.000001)</x:f>
      </x:c>
      <x:c r="AJ51" s="16" t="e">
        <x:f>IF(K51&gt;=G51,"OK","NG")</x:f>
      </x:c>
      <x:c r="AK51" s="16" t="e">
        <x:f>IF(I51&gt;=L51,"OK","NG")</x:f>
      </x:c>
      <x:c r="AL51" s="16" t="e">
        <x:f>IF(M51&gt;=0,"OK","NG")</x:f>
      </x:c>
      <x:c r="AM51" s="16" t="e">
        <x:f>IF(F51/MAX(R51,0.000001)&lt;=1,"Shallow","Deep")</x:f>
      </x:c>
    </x:row>
    <x:row r="52">
      <x:c r="A52" s="16" t="n">
        <x:f>Shallow_Input!A52</x:f>
        <x:v>0</x:v>
      </x:c>
      <x:c r="B52" s="16" t="n">
        <x:f>Shallow_Input!B52</x:f>
        <x:v>0</x:v>
      </x:c>
      <x:c r="C52" s="16" t="n">
        <x:f>Shallow_Input!C52</x:f>
        <x:v>0</x:v>
      </x:c>
      <x:c r="D52" s="16" t="n">
        <x:f>Shallow_Input!D52</x:f>
        <x:v>0</x:v>
      </x:c>
      <x:c r="E52" s="16" t="e">
        <x:f>IF(B52="S",1,Shallow_Input!E52)</x:f>
      </x:c>
      <x:c r="F52" s="16" t="n">
        <x:f>Shallow_Input!F52</x:f>
        <x:v>0</x:v>
      </x:c>
      <x:c r="G52" s="16" t="e">
        <x:f>LET(B0,D52,L0,E52,D0,F52,t,Shallow_Input!G52,Cx,Shallow_Input!H52,Cy,Shallow_Input!I52,Ox,Shallow_Input!J52,Oy,IF(B52="S",0,Shallow_Input!K52),dw,Shallow_Input!L52,Qc,Shallow_Input!M52,g1u,Shallow_Input!R52,g1sat,Shallow_Input!S52,gc,Shallow_Input!Z52,g1ave,IF(dw&gt;=D0,g1u,IF(dw&lt;=0,g1sat,(g1u*dw+g1sat*(D0-dw))/D0)),g1ave*MAX(B0*L0-Cx*Cy,0)*MAX(D0-t,0)+gc*Cx*Cy*MAX(D0-t,0)+t*B0*L0*gc+Qc)</x:f>
      </x:c>
      <x:c r="H52" s="16" t="e">
        <x:f>LET(shape,B52,B0,D52,L0,E52,D0,F52,dw,Shallow_Input!L52,g1u,Shallow_Input!R52,g1sat,Shallow_Input!S52,gw,Shallow_Input!AA52,g2u,Shallow_Input!V52,g2sat,Shallow_Input!W52,analysis,C52,c2,Shallow_Input!X52,phi1,Shallow_Input!U52,phi2,Shallow_Input!Y52,Bef,R52,Nq,V52,Nc,W52,Ny,X52,Fcs,Y52,Fqs,Z52,Fys,AA52,Fcd,AB52,Fqd,AC52,Fyd,AD52,Fci,AE52,Fqi,AF52,Fyi,AG52,g1ave,IF(dw&gt;=D0,g1u,IF(dw&lt;=0,g1sat,(g1u*dw+g1sat*(D0-dw))/D0)),g1eff,IF(dw&gt;=D0,g1u,IF(dw&lt;=0,g1sat-gw,(g1u*dw+(g1sat-gw)*(D0-dw))/D0)),g2width,IF(shape="S",B0,Bef),g2ave,IF(dw&gt;=D0+g2width,g2u,IF(dw&lt;=D0,g2sat,(g2u*(dw-D0)+g2sat*(g2width-(dw-D0)))/g2width)),g2eff,IF(dw&gt;=D0+g2width,g2u,IF(dw&lt;=D0,g2sat-gw,(g2u*(dw-D0)+(g2sat-gw)*(g2width-(dw-D0)))/g2width)),g1used,IF(analysis="T",g1ave,g1eff),g2used,IF(analysis="T",g2ave,g2eff),q,g1used*D0,c2*Nc*Fcs*Fcd*Fci+q*Nq*Fqs*Fqd*Fqi+0.5*Bef*g2used*Ny*Fys*Fyd*Fyi)</x:f>
      </x:c>
      <x:c r="I52" s="16" t="e">
        <x:f>H52/Shallow_Input!AB52</x:f>
      </x:c>
      <x:c r="J52" s="16" t="e">
        <x:f>H52*T52</x:f>
      </x:c>
      <x:c r="K52" s="16" t="e">
        <x:f>I52*T52</x:f>
      </x:c>
      <x:c r="L52" s="16" t="e">
        <x:f>G52/(D52*E52)*(1+6*N52/D52+6*O52/E52)</x:f>
      </x:c>
      <x:c r="M52" s="16" t="e">
        <x:f>G52/(D52*E52)*(1-6*N52/D52-6*O52/E52)</x:f>
      </x:c>
      <x:c r="N52" s="16" t="e">
        <x:f>ABS((Shallow_Input!Z52*Shallow_Input!H52*Shallow_Input!I52*MAX(Shallow_Input!F52-Shallow_Input!G52,0)+Shallow_Input!M52)*Shallow_Input!J52+Shallow_Input!P52*Shallow_Input!F52+Shallow_Input!O52)/G52</x:f>
      </x:c>
      <x:c r="O52" s="16" t="e">
        <x:f>ABS(((Shallow_Input!Z52*Shallow_Input!H52*Shallow_Input!I52*MAX(Shallow_Input!F52-Shallow_Input!G52,0)+Shallow_Input!M52)*IF(B52="S",0,Shallow_Input!K52)+Shallow_Input!Q52*Shallow_Input!F52+IF(B52="S",0,Shallow_Input!N52))/G52)</x:f>
      </x:c>
      <x:c r="P52" s="16" t="e">
        <x:f>D52-2*N52</x:f>
      </x:c>
      <x:c r="Q52" s="16" t="e">
        <x:f>E52-2*O52</x:f>
      </x:c>
      <x:c r="R52" s="16" t="e">
        <x:f>MAX(P52,0.000001)</x:f>
      </x:c>
      <x:c r="S52" s="16" t="e">
        <x:f>IF(B52="S",1,MAX(Q52,0.000001))</x:f>
      </x:c>
      <x:c r="T52" s="16" t="e">
        <x:f>R52*S52</x:f>
      </x:c>
      <x:c r="U52" s="16" t="e">
        <x:f>DEGREES(ATAN(SQRT(Shallow_Input!P52^2+Shallow_Input!Q52^2)/G52))</x:f>
      </x:c>
      <x:c r="V52" s="16" t="n">
        <x:f>EXP(PI()*TAN(RADIANS(Shallow_Input!Y52)))*TAN(PI()/4+RADIANS(Shallow_Input!Y52)/2)^2</x:f>
        <x:v>0.9999999999999998</x:v>
      </x:c>
      <x:c r="W52" s="16" t="n">
        <x:f>IF(ABS(TAN(RADIANS(Shallow_Input!Y52)))&gt;0.0000001,(V52-1)/TAN(RADIANS(Shallow_Input!Y52)),5.14)</x:f>
        <x:v>5.14</x:v>
      </x:c>
      <x:c r="X52" s="16" t="n">
        <x:f>2*(V52+1)*TAN(RADIANS(Shallow_Input!Y52))</x:f>
        <x:v>0</x:v>
      </x:c>
      <x:c r="Y52" s="16" t="e">
        <x:f>IF(B52="S",1,1+R52/S52*V52/MAX(W52,0.000001))</x:f>
      </x:c>
      <x:c r="Z52" s="16" t="e">
        <x:f>IF(B52="S",1,1+R52/S52*TAN(RADIANS(Shallow_Input!Y52)))</x:f>
      </x:c>
      <x:c r="AA52" s="16" t="e">
        <x:f>IF(B52="S",1,1-0.4*R52/S52)</x:f>
      </x:c>
      <x:c r="AB52" s="16" t="e">
        <x:f>1+0.4*IF(F52/MAX(R52,0.000001)&lt;=1,F52/MAX(R52,0.000001),ATAN(F52/MAX(R52,0.000001)))</x:f>
      </x:c>
      <x:c r="AC52" s="16" t="e">
        <x:f>1+2*TAN(RADIANS(Shallow_Input!U52))*(1-SIN(RADIANS(Shallow_Input!U52)))^2*IF(F52/MAX(R52,0.000001)&lt;=1,F52/MAX(R52,0.000001),ATAN(F52/MAX(R52,0.000001)))</x:f>
      </x:c>
      <x:c r="AD52" s="16" t="n">
        <x:f>1</x:f>
        <x:v>1</x:v>
      </x:c>
      <x:c r="AE52" s="16" t="e">
        <x:f>(1-U52/90)^2</x:f>
      </x:c>
      <x:c r="AF52" s="16" t="e">
        <x:f>(1-U52/90)^2</x:f>
      </x:c>
      <x:c r="AG52" s="16" t="n">
        <x:f>IF(Shallow_Input!Y52&gt;0,(1-U52/Shallow_Input!Y52)^2,1)</x:f>
        <x:v>1</x:v>
      </x:c>
      <x:c r="AH52" s="16" t="e">
        <x:f>J52/MAX(G52,0.000001)</x:f>
      </x:c>
      <x:c r="AI52" s="16" t="e">
        <x:f>H52/MAX(L52,0.000001)</x:f>
      </x:c>
      <x:c r="AJ52" s="16" t="e">
        <x:f>IF(K52&gt;=G52,"OK","NG")</x:f>
      </x:c>
      <x:c r="AK52" s="16" t="e">
        <x:f>IF(I52&gt;=L52,"OK","NG")</x:f>
      </x:c>
      <x:c r="AL52" s="16" t="e">
        <x:f>IF(M52&gt;=0,"OK","NG")</x:f>
      </x:c>
      <x:c r="AM52" s="16" t="e">
        <x:f>IF(F52/MAX(R52,0.000001)&lt;=1,"Shallow","Deep")</x:f>
      </x:c>
    </x:row>
    <x:row r="53">
      <x:c r="A53" s="16" t="n">
        <x:f>Shallow_Input!A53</x:f>
        <x:v>0</x:v>
      </x:c>
      <x:c r="B53" s="16" t="n">
        <x:f>Shallow_Input!B53</x:f>
        <x:v>0</x:v>
      </x:c>
      <x:c r="C53" s="16" t="n">
        <x:f>Shallow_Input!C53</x:f>
        <x:v>0</x:v>
      </x:c>
      <x:c r="D53" s="16" t="n">
        <x:f>Shallow_Input!D53</x:f>
        <x:v>0</x:v>
      </x:c>
      <x:c r="E53" s="16" t="e">
        <x:f>IF(B53="S",1,Shallow_Input!E53)</x:f>
      </x:c>
      <x:c r="F53" s="16" t="n">
        <x:f>Shallow_Input!F53</x:f>
        <x:v>0</x:v>
      </x:c>
      <x:c r="G53" s="16" t="e">
        <x:f>LET(B0,D53,L0,E53,D0,F53,t,Shallow_Input!G53,Cx,Shallow_Input!H53,Cy,Shallow_Input!I53,Ox,Shallow_Input!J53,Oy,IF(B53="S",0,Shallow_Input!K53),dw,Shallow_Input!L53,Qc,Shallow_Input!M53,g1u,Shallow_Input!R53,g1sat,Shallow_Input!S53,gc,Shallow_Input!Z53,g1ave,IF(dw&gt;=D0,g1u,IF(dw&lt;=0,g1sat,(g1u*dw+g1sat*(D0-dw))/D0)),g1ave*MAX(B0*L0-Cx*Cy,0)*MAX(D0-t,0)+gc*Cx*Cy*MAX(D0-t,0)+t*B0*L0*gc+Qc)</x:f>
      </x:c>
      <x:c r="H53" s="16" t="e">
        <x:f>LET(shape,B53,B0,D53,L0,E53,D0,F53,dw,Shallow_Input!L53,g1u,Shallow_Input!R53,g1sat,Shallow_Input!S53,gw,Shallow_Input!AA53,g2u,Shallow_Input!V53,g2sat,Shallow_Input!W53,analysis,C53,c2,Shallow_Input!X53,phi1,Shallow_Input!U53,phi2,Shallow_Input!Y53,Bef,R53,Nq,V53,Nc,W53,Ny,X53,Fcs,Y53,Fqs,Z53,Fys,AA53,Fcd,AB53,Fqd,AC53,Fyd,AD53,Fci,AE53,Fqi,AF53,Fyi,AG53,g1ave,IF(dw&gt;=D0,g1u,IF(dw&lt;=0,g1sat,(g1u*dw+g1sat*(D0-dw))/D0)),g1eff,IF(dw&gt;=D0,g1u,IF(dw&lt;=0,g1sat-gw,(g1u*dw+(g1sat-gw)*(D0-dw))/D0)),g2width,IF(shape="S",B0,Bef),g2ave,IF(dw&gt;=D0+g2width,g2u,IF(dw&lt;=D0,g2sat,(g2u*(dw-D0)+g2sat*(g2width-(dw-D0)))/g2width)),g2eff,IF(dw&gt;=D0+g2width,g2u,IF(dw&lt;=D0,g2sat-gw,(g2u*(dw-D0)+(g2sat-gw)*(g2width-(dw-D0)))/g2width)),g1used,IF(analysis="T",g1ave,g1eff),g2used,IF(analysis="T",g2ave,g2eff),q,g1used*D0,c2*Nc*Fcs*Fcd*Fci+q*Nq*Fqs*Fqd*Fqi+0.5*Bef*g2used*Ny*Fys*Fyd*Fyi)</x:f>
      </x:c>
      <x:c r="I53" s="16" t="e">
        <x:f>H53/Shallow_Input!AB53</x:f>
      </x:c>
      <x:c r="J53" s="16" t="e">
        <x:f>H53*T53</x:f>
      </x:c>
      <x:c r="K53" s="16" t="e">
        <x:f>I53*T53</x:f>
      </x:c>
      <x:c r="L53" s="16" t="e">
        <x:f>G53/(D53*E53)*(1+6*N53/D53+6*O53/E53)</x:f>
      </x:c>
      <x:c r="M53" s="16" t="e">
        <x:f>G53/(D53*E53)*(1-6*N53/D53-6*O53/E53)</x:f>
      </x:c>
      <x:c r="N53" s="16" t="e">
        <x:f>ABS((Shallow_Input!Z53*Shallow_Input!H53*Shallow_Input!I53*MAX(Shallow_Input!F53-Shallow_Input!G53,0)+Shallow_Input!M53)*Shallow_Input!J53+Shallow_Input!P53*Shallow_Input!F53+Shallow_Input!O53)/G53</x:f>
      </x:c>
      <x:c r="O53" s="16" t="e">
        <x:f>ABS(((Shallow_Input!Z53*Shallow_Input!H53*Shallow_Input!I53*MAX(Shallow_Input!F53-Shallow_Input!G53,0)+Shallow_Input!M53)*IF(B53="S",0,Shallow_Input!K53)+Shallow_Input!Q53*Shallow_Input!F53+IF(B53="S",0,Shallow_Input!N53))/G53)</x:f>
      </x:c>
      <x:c r="P53" s="16" t="e">
        <x:f>D53-2*N53</x:f>
      </x:c>
      <x:c r="Q53" s="16" t="e">
        <x:f>E53-2*O53</x:f>
      </x:c>
      <x:c r="R53" s="16" t="e">
        <x:f>MAX(P53,0.000001)</x:f>
      </x:c>
      <x:c r="S53" s="16" t="e">
        <x:f>IF(B53="S",1,MAX(Q53,0.000001))</x:f>
      </x:c>
      <x:c r="T53" s="16" t="e">
        <x:f>R53*S53</x:f>
      </x:c>
      <x:c r="U53" s="16" t="e">
        <x:f>DEGREES(ATAN(SQRT(Shallow_Input!P53^2+Shallow_Input!Q53^2)/G53))</x:f>
      </x:c>
      <x:c r="V53" s="16" t="n">
        <x:f>EXP(PI()*TAN(RADIANS(Shallow_Input!Y53)))*TAN(PI()/4+RADIANS(Shallow_Input!Y53)/2)^2</x:f>
        <x:v>0.9999999999999998</x:v>
      </x:c>
      <x:c r="W53" s="16" t="n">
        <x:f>IF(ABS(TAN(RADIANS(Shallow_Input!Y53)))&gt;0.0000001,(V53-1)/TAN(RADIANS(Shallow_Input!Y53)),5.14)</x:f>
        <x:v>5.14</x:v>
      </x:c>
      <x:c r="X53" s="16" t="n">
        <x:f>2*(V53+1)*TAN(RADIANS(Shallow_Input!Y53))</x:f>
        <x:v>0</x:v>
      </x:c>
      <x:c r="Y53" s="16" t="e">
        <x:f>IF(B53="S",1,1+R53/S53*V53/MAX(W53,0.000001))</x:f>
      </x:c>
      <x:c r="Z53" s="16" t="e">
        <x:f>IF(B53="S",1,1+R53/S53*TAN(RADIANS(Shallow_Input!Y53)))</x:f>
      </x:c>
      <x:c r="AA53" s="16" t="e">
        <x:f>IF(B53="S",1,1-0.4*R53/S53)</x:f>
      </x:c>
      <x:c r="AB53" s="16" t="e">
        <x:f>1+0.4*IF(F53/MAX(R53,0.000001)&lt;=1,F53/MAX(R53,0.000001),ATAN(F53/MAX(R53,0.000001)))</x:f>
      </x:c>
      <x:c r="AC53" s="16" t="e">
        <x:f>1+2*TAN(RADIANS(Shallow_Input!U53))*(1-SIN(RADIANS(Shallow_Input!U53)))^2*IF(F53/MAX(R53,0.000001)&lt;=1,F53/MAX(R53,0.000001),ATAN(F53/MAX(R53,0.000001)))</x:f>
      </x:c>
      <x:c r="AD53" s="16" t="n">
        <x:f>1</x:f>
        <x:v>1</x:v>
      </x:c>
      <x:c r="AE53" s="16" t="e">
        <x:f>(1-U53/90)^2</x:f>
      </x:c>
      <x:c r="AF53" s="16" t="e">
        <x:f>(1-U53/90)^2</x:f>
      </x:c>
      <x:c r="AG53" s="16" t="n">
        <x:f>IF(Shallow_Input!Y53&gt;0,(1-U53/Shallow_Input!Y53)^2,1)</x:f>
        <x:v>1</x:v>
      </x:c>
      <x:c r="AH53" s="16" t="e">
        <x:f>J53/MAX(G53,0.000001)</x:f>
      </x:c>
      <x:c r="AI53" s="16" t="e">
        <x:f>H53/MAX(L53,0.000001)</x:f>
      </x:c>
      <x:c r="AJ53" s="16" t="e">
        <x:f>IF(K53&gt;=G53,"OK","NG")</x:f>
      </x:c>
      <x:c r="AK53" s="16" t="e">
        <x:f>IF(I53&gt;=L53,"OK","NG")</x:f>
      </x:c>
      <x:c r="AL53" s="16" t="e">
        <x:f>IF(M53&gt;=0,"OK","NG")</x:f>
      </x:c>
      <x:c r="AM53" s="16" t="e">
        <x:f>IF(F53/MAX(R53,0.000001)&lt;=1,"Shallow","Deep")</x:f>
      </x:c>
    </x:row>
    <x:row r="54">
      <x:c r="A54" s="16" t="n">
        <x:f>Shallow_Input!A54</x:f>
        <x:v>0</x:v>
      </x:c>
      <x:c r="B54" s="16" t="n">
        <x:f>Shallow_Input!B54</x:f>
        <x:v>0</x:v>
      </x:c>
      <x:c r="C54" s="16" t="n">
        <x:f>Shallow_Input!C54</x:f>
        <x:v>0</x:v>
      </x:c>
      <x:c r="D54" s="16" t="n">
        <x:f>Shallow_Input!D54</x:f>
        <x:v>0</x:v>
      </x:c>
      <x:c r="E54" s="16" t="e">
        <x:f>IF(B54="S",1,Shallow_Input!E54)</x:f>
      </x:c>
      <x:c r="F54" s="16" t="n">
        <x:f>Shallow_Input!F54</x:f>
        <x:v>0</x:v>
      </x:c>
      <x:c r="G54" s="16" t="e">
        <x:f>LET(B0,D54,L0,E54,D0,F54,t,Shallow_Input!G54,Cx,Shallow_Input!H54,Cy,Shallow_Input!I54,Ox,Shallow_Input!J54,Oy,IF(B54="S",0,Shallow_Input!K54),dw,Shallow_Input!L54,Qc,Shallow_Input!M54,g1u,Shallow_Input!R54,g1sat,Shallow_Input!S54,gc,Shallow_Input!Z54,g1ave,IF(dw&gt;=D0,g1u,IF(dw&lt;=0,g1sat,(g1u*dw+g1sat*(D0-dw))/D0)),g1ave*MAX(B0*L0-Cx*Cy,0)*MAX(D0-t,0)+gc*Cx*Cy*MAX(D0-t,0)+t*B0*L0*gc+Qc)</x:f>
      </x:c>
      <x:c r="H54" s="16" t="e">
        <x:f>LET(shape,B54,B0,D54,L0,E54,D0,F54,dw,Shallow_Input!L54,g1u,Shallow_Input!R54,g1sat,Shallow_Input!S54,gw,Shallow_Input!AA54,g2u,Shallow_Input!V54,g2sat,Shallow_Input!W54,analysis,C54,c2,Shallow_Input!X54,phi1,Shallow_Input!U54,phi2,Shallow_Input!Y54,Bef,R54,Nq,V54,Nc,W54,Ny,X54,Fcs,Y54,Fqs,Z54,Fys,AA54,Fcd,AB54,Fqd,AC54,Fyd,AD54,Fci,AE54,Fqi,AF54,Fyi,AG54,g1ave,IF(dw&gt;=D0,g1u,IF(dw&lt;=0,g1sat,(g1u*dw+g1sat*(D0-dw))/D0)),g1eff,IF(dw&gt;=D0,g1u,IF(dw&lt;=0,g1sat-gw,(g1u*dw+(g1sat-gw)*(D0-dw))/D0)),g2width,IF(shape="S",B0,Bef),g2ave,IF(dw&gt;=D0+g2width,g2u,IF(dw&lt;=D0,g2sat,(g2u*(dw-D0)+g2sat*(g2width-(dw-D0)))/g2width)),g2eff,IF(dw&gt;=D0+g2width,g2u,IF(dw&lt;=D0,g2sat-gw,(g2u*(dw-D0)+(g2sat-gw)*(g2width-(dw-D0)))/g2width)),g1used,IF(analysis="T",g1ave,g1eff),g2used,IF(analysis="T",g2ave,g2eff),q,g1used*D0,c2*Nc*Fcs*Fcd*Fci+q*Nq*Fqs*Fqd*Fqi+0.5*Bef*g2used*Ny*Fys*Fyd*Fyi)</x:f>
      </x:c>
      <x:c r="I54" s="16" t="e">
        <x:f>H54/Shallow_Input!AB54</x:f>
      </x:c>
      <x:c r="J54" s="16" t="e">
        <x:f>H54*T54</x:f>
      </x:c>
      <x:c r="K54" s="16" t="e">
        <x:f>I54*T54</x:f>
      </x:c>
      <x:c r="L54" s="16" t="e">
        <x:f>G54/(D54*E54)*(1+6*N54/D54+6*O54/E54)</x:f>
      </x:c>
      <x:c r="M54" s="16" t="e">
        <x:f>G54/(D54*E54)*(1-6*N54/D54-6*O54/E54)</x:f>
      </x:c>
      <x:c r="N54" s="16" t="e">
        <x:f>ABS((Shallow_Input!Z54*Shallow_Input!H54*Shallow_Input!I54*MAX(Shallow_Input!F54-Shallow_Input!G54,0)+Shallow_Input!M54)*Shallow_Input!J54+Shallow_Input!P54*Shallow_Input!F54+Shallow_Input!O54)/G54</x:f>
      </x:c>
      <x:c r="O54" s="16" t="e">
        <x:f>ABS(((Shallow_Input!Z54*Shallow_Input!H54*Shallow_Input!I54*MAX(Shallow_Input!F54-Shallow_Input!G54,0)+Shallow_Input!M54)*IF(B54="S",0,Shallow_Input!K54)+Shallow_Input!Q54*Shallow_Input!F54+IF(B54="S",0,Shallow_Input!N54))/G54)</x:f>
      </x:c>
      <x:c r="P54" s="16" t="e">
        <x:f>D54-2*N54</x:f>
      </x:c>
      <x:c r="Q54" s="16" t="e">
        <x:f>E54-2*O54</x:f>
      </x:c>
      <x:c r="R54" s="16" t="e">
        <x:f>MAX(P54,0.000001)</x:f>
      </x:c>
      <x:c r="S54" s="16" t="e">
        <x:f>IF(B54="S",1,MAX(Q54,0.000001))</x:f>
      </x:c>
      <x:c r="T54" s="16" t="e">
        <x:f>R54*S54</x:f>
      </x:c>
      <x:c r="U54" s="16" t="e">
        <x:f>DEGREES(ATAN(SQRT(Shallow_Input!P54^2+Shallow_Input!Q54^2)/G54))</x:f>
      </x:c>
      <x:c r="V54" s="16" t="n">
        <x:f>EXP(PI()*TAN(RADIANS(Shallow_Input!Y54)))*TAN(PI()/4+RADIANS(Shallow_Input!Y54)/2)^2</x:f>
        <x:v>0.9999999999999998</x:v>
      </x:c>
      <x:c r="W54" s="16" t="n">
        <x:f>IF(ABS(TAN(RADIANS(Shallow_Input!Y54)))&gt;0.0000001,(V54-1)/TAN(RADIANS(Shallow_Input!Y54)),5.14)</x:f>
        <x:v>5.14</x:v>
      </x:c>
      <x:c r="X54" s="16" t="n">
        <x:f>2*(V54+1)*TAN(RADIANS(Shallow_Input!Y54))</x:f>
        <x:v>0</x:v>
      </x:c>
      <x:c r="Y54" s="16" t="e">
        <x:f>IF(B54="S",1,1+R54/S54*V54/MAX(W54,0.000001))</x:f>
      </x:c>
      <x:c r="Z54" s="16" t="e">
        <x:f>IF(B54="S",1,1+R54/S54*TAN(RADIANS(Shallow_Input!Y54)))</x:f>
      </x:c>
      <x:c r="AA54" s="16" t="e">
        <x:f>IF(B54="S",1,1-0.4*R54/S54)</x:f>
      </x:c>
      <x:c r="AB54" s="16" t="e">
        <x:f>1+0.4*IF(F54/MAX(R54,0.000001)&lt;=1,F54/MAX(R54,0.000001),ATAN(F54/MAX(R54,0.000001)))</x:f>
      </x:c>
      <x:c r="AC54" s="16" t="e">
        <x:f>1+2*TAN(RADIANS(Shallow_Input!U54))*(1-SIN(RADIANS(Shallow_Input!U54)))^2*IF(F54/MAX(R54,0.000001)&lt;=1,F54/MAX(R54,0.000001),ATAN(F54/MAX(R54,0.000001)))</x:f>
      </x:c>
      <x:c r="AD54" s="16" t="n">
        <x:f>1</x:f>
        <x:v>1</x:v>
      </x:c>
      <x:c r="AE54" s="16" t="e">
        <x:f>(1-U54/90)^2</x:f>
      </x:c>
      <x:c r="AF54" s="16" t="e">
        <x:f>(1-U54/90)^2</x:f>
      </x:c>
      <x:c r="AG54" s="16" t="n">
        <x:f>IF(Shallow_Input!Y54&gt;0,(1-U54/Shallow_Input!Y54)^2,1)</x:f>
        <x:v>1</x:v>
      </x:c>
      <x:c r="AH54" s="16" t="e">
        <x:f>J54/MAX(G54,0.000001)</x:f>
      </x:c>
      <x:c r="AI54" s="16" t="e">
        <x:f>H54/MAX(L54,0.000001)</x:f>
      </x:c>
      <x:c r="AJ54" s="16" t="e">
        <x:f>IF(K54&gt;=G54,"OK","NG")</x:f>
      </x:c>
      <x:c r="AK54" s="16" t="e">
        <x:f>IF(I54&gt;=L54,"OK","NG")</x:f>
      </x:c>
      <x:c r="AL54" s="16" t="e">
        <x:f>IF(M54&gt;=0,"OK","NG")</x:f>
      </x:c>
      <x:c r="AM54" s="16" t="e">
        <x:f>IF(F54/MAX(R54,0.000001)&lt;=1,"Shallow","Deep")</x:f>
      </x:c>
    </x:row>
    <x:row r="55">
      <x:c r="A55" s="16" t="n">
        <x:f>Shallow_Input!A55</x:f>
        <x:v>0</x:v>
      </x:c>
      <x:c r="B55" s="16" t="n">
        <x:f>Shallow_Input!B55</x:f>
        <x:v>0</x:v>
      </x:c>
      <x:c r="C55" s="16" t="n">
        <x:f>Shallow_Input!C55</x:f>
        <x:v>0</x:v>
      </x:c>
      <x:c r="D55" s="16" t="n">
        <x:f>Shallow_Input!D55</x:f>
        <x:v>0</x:v>
      </x:c>
      <x:c r="E55" s="16" t="e">
        <x:f>IF(B55="S",1,Shallow_Input!E55)</x:f>
      </x:c>
      <x:c r="F55" s="16" t="n">
        <x:f>Shallow_Input!F55</x:f>
        <x:v>0</x:v>
      </x:c>
      <x:c r="G55" s="16" t="e">
        <x:f>LET(B0,D55,L0,E55,D0,F55,t,Shallow_Input!G55,Cx,Shallow_Input!H55,Cy,Shallow_Input!I55,Ox,Shallow_Input!J55,Oy,IF(B55="S",0,Shallow_Input!K55),dw,Shallow_Input!L55,Qc,Shallow_Input!M55,g1u,Shallow_Input!R55,g1sat,Shallow_Input!S55,gc,Shallow_Input!Z55,g1ave,IF(dw&gt;=D0,g1u,IF(dw&lt;=0,g1sat,(g1u*dw+g1sat*(D0-dw))/D0)),g1ave*MAX(B0*L0-Cx*Cy,0)*MAX(D0-t,0)+gc*Cx*Cy*MAX(D0-t,0)+t*B0*L0*gc+Qc)</x:f>
      </x:c>
      <x:c r="H55" s="16" t="e">
        <x:f>LET(shape,B55,B0,D55,L0,E55,D0,F55,dw,Shallow_Input!L55,g1u,Shallow_Input!R55,g1sat,Shallow_Input!S55,gw,Shallow_Input!AA55,g2u,Shallow_Input!V55,g2sat,Shallow_Input!W55,analysis,C55,c2,Shallow_Input!X55,phi1,Shallow_Input!U55,phi2,Shallow_Input!Y55,Bef,R55,Nq,V55,Nc,W55,Ny,X55,Fcs,Y55,Fqs,Z55,Fys,AA55,Fcd,AB55,Fqd,AC55,Fyd,AD55,Fci,AE55,Fqi,AF55,Fyi,AG55,g1ave,IF(dw&gt;=D0,g1u,IF(dw&lt;=0,g1sat,(g1u*dw+g1sat*(D0-dw))/D0)),g1eff,IF(dw&gt;=D0,g1u,IF(dw&lt;=0,g1sat-gw,(g1u*dw+(g1sat-gw)*(D0-dw))/D0)),g2width,IF(shape="S",B0,Bef),g2ave,IF(dw&gt;=D0+g2width,g2u,IF(dw&lt;=D0,g2sat,(g2u*(dw-D0)+g2sat*(g2width-(dw-D0)))/g2width)),g2eff,IF(dw&gt;=D0+g2width,g2u,IF(dw&lt;=D0,g2sat-gw,(g2u*(dw-D0)+(g2sat-gw)*(g2width-(dw-D0)))/g2width)),g1used,IF(analysis="T",g1ave,g1eff),g2used,IF(analysis="T",g2ave,g2eff),q,g1used*D0,c2*Nc*Fcs*Fcd*Fci+q*Nq*Fqs*Fqd*Fqi+0.5*Bef*g2used*Ny*Fys*Fyd*Fyi)</x:f>
      </x:c>
      <x:c r="I55" s="16" t="e">
        <x:f>H55/Shallow_Input!AB55</x:f>
      </x:c>
      <x:c r="J55" s="16" t="e">
        <x:f>H55*T55</x:f>
      </x:c>
      <x:c r="K55" s="16" t="e">
        <x:f>I55*T55</x:f>
      </x:c>
      <x:c r="L55" s="16" t="e">
        <x:f>G55/(D55*E55)*(1+6*N55/D55+6*O55/E55)</x:f>
      </x:c>
      <x:c r="M55" s="16" t="e">
        <x:f>G55/(D55*E55)*(1-6*N55/D55-6*O55/E55)</x:f>
      </x:c>
      <x:c r="N55" s="16" t="e">
        <x:f>ABS((Shallow_Input!Z55*Shallow_Input!H55*Shallow_Input!I55*MAX(Shallow_Input!F55-Shallow_Input!G55,0)+Shallow_Input!M55)*Shallow_Input!J55+Shallow_Input!P55*Shallow_Input!F55+Shallow_Input!O55)/G55</x:f>
      </x:c>
      <x:c r="O55" s="16" t="e">
        <x:f>ABS(((Shallow_Input!Z55*Shallow_Input!H55*Shallow_Input!I55*MAX(Shallow_Input!F55-Shallow_Input!G55,0)+Shallow_Input!M55)*IF(B55="S",0,Shallow_Input!K55)+Shallow_Input!Q55*Shallow_Input!F55+IF(B55="S",0,Shallow_Input!N55))/G55)</x:f>
      </x:c>
      <x:c r="P55" s="16" t="e">
        <x:f>D55-2*N55</x:f>
      </x:c>
      <x:c r="Q55" s="16" t="e">
        <x:f>E55-2*O55</x:f>
      </x:c>
      <x:c r="R55" s="16" t="e">
        <x:f>MAX(P55,0.000001)</x:f>
      </x:c>
      <x:c r="S55" s="16" t="e">
        <x:f>IF(B55="S",1,MAX(Q55,0.000001))</x:f>
      </x:c>
      <x:c r="T55" s="16" t="e">
        <x:f>R55*S55</x:f>
      </x:c>
      <x:c r="U55" s="16" t="e">
        <x:f>DEGREES(ATAN(SQRT(Shallow_Input!P55^2+Shallow_Input!Q55^2)/G55))</x:f>
      </x:c>
      <x:c r="V55" s="16" t="n">
        <x:f>EXP(PI()*TAN(RADIANS(Shallow_Input!Y55)))*TAN(PI()/4+RADIANS(Shallow_Input!Y55)/2)^2</x:f>
        <x:v>0.9999999999999998</x:v>
      </x:c>
      <x:c r="W55" s="16" t="n">
        <x:f>IF(ABS(TAN(RADIANS(Shallow_Input!Y55)))&gt;0.0000001,(V55-1)/TAN(RADIANS(Shallow_Input!Y55)),5.14)</x:f>
        <x:v>5.14</x:v>
      </x:c>
      <x:c r="X55" s="16" t="n">
        <x:f>2*(V55+1)*TAN(RADIANS(Shallow_Input!Y55))</x:f>
        <x:v>0</x:v>
      </x:c>
      <x:c r="Y55" s="16" t="e">
        <x:f>IF(B55="S",1,1+R55/S55*V55/MAX(W55,0.000001))</x:f>
      </x:c>
      <x:c r="Z55" s="16" t="e">
        <x:f>IF(B55="S",1,1+R55/S55*TAN(RADIANS(Shallow_Input!Y55)))</x:f>
      </x:c>
      <x:c r="AA55" s="16" t="e">
        <x:f>IF(B55="S",1,1-0.4*R55/S55)</x:f>
      </x:c>
      <x:c r="AB55" s="16" t="e">
        <x:f>1+0.4*IF(F55/MAX(R55,0.000001)&lt;=1,F55/MAX(R55,0.000001),ATAN(F55/MAX(R55,0.000001)))</x:f>
      </x:c>
      <x:c r="AC55" s="16" t="e">
        <x:f>1+2*TAN(RADIANS(Shallow_Input!U55))*(1-SIN(RADIANS(Shallow_Input!U55)))^2*IF(F55/MAX(R55,0.000001)&lt;=1,F55/MAX(R55,0.000001),ATAN(F55/MAX(R55,0.000001)))</x:f>
      </x:c>
      <x:c r="AD55" s="16" t="n">
        <x:f>1</x:f>
        <x:v>1</x:v>
      </x:c>
      <x:c r="AE55" s="16" t="e">
        <x:f>(1-U55/90)^2</x:f>
      </x:c>
      <x:c r="AF55" s="16" t="e">
        <x:f>(1-U55/90)^2</x:f>
      </x:c>
      <x:c r="AG55" s="16" t="n">
        <x:f>IF(Shallow_Input!Y55&gt;0,(1-U55/Shallow_Input!Y55)^2,1)</x:f>
        <x:v>1</x:v>
      </x:c>
      <x:c r="AH55" s="16" t="e">
        <x:f>J55/MAX(G55,0.000001)</x:f>
      </x:c>
      <x:c r="AI55" s="16" t="e">
        <x:f>H55/MAX(L55,0.000001)</x:f>
      </x:c>
      <x:c r="AJ55" s="16" t="e">
        <x:f>IF(K55&gt;=G55,"OK","NG")</x:f>
      </x:c>
      <x:c r="AK55" s="16" t="e">
        <x:f>IF(I55&gt;=L55,"OK","NG")</x:f>
      </x:c>
      <x:c r="AL55" s="16" t="e">
        <x:f>IF(M55&gt;=0,"OK","NG")</x:f>
      </x:c>
      <x:c r="AM55" s="16" t="e">
        <x:f>IF(F55/MAX(R55,0.000001)&lt;=1,"Shallow","Deep")</x:f>
      </x:c>
    </x:row>
    <x:row r="56">
      <x:c r="A56" s="16" t="n">
        <x:f>Shallow_Input!A56</x:f>
        <x:v>0</x:v>
      </x:c>
      <x:c r="B56" s="16" t="n">
        <x:f>Shallow_Input!B56</x:f>
        <x:v>0</x:v>
      </x:c>
      <x:c r="C56" s="16" t="n">
        <x:f>Shallow_Input!C56</x:f>
        <x:v>0</x:v>
      </x:c>
      <x:c r="D56" s="16" t="n">
        <x:f>Shallow_Input!D56</x:f>
        <x:v>0</x:v>
      </x:c>
      <x:c r="E56" s="16" t="e">
        <x:f>IF(B56="S",1,Shallow_Input!E56)</x:f>
      </x:c>
      <x:c r="F56" s="16" t="n">
        <x:f>Shallow_Input!F56</x:f>
        <x:v>0</x:v>
      </x:c>
      <x:c r="G56" s="16" t="e">
        <x:f>LET(B0,D56,L0,E56,D0,F56,t,Shallow_Input!G56,Cx,Shallow_Input!H56,Cy,Shallow_Input!I56,Ox,Shallow_Input!J56,Oy,IF(B56="S",0,Shallow_Input!K56),dw,Shallow_Input!L56,Qc,Shallow_Input!M56,g1u,Shallow_Input!R56,g1sat,Shallow_Input!S56,gc,Shallow_Input!Z56,g1ave,IF(dw&gt;=D0,g1u,IF(dw&lt;=0,g1sat,(g1u*dw+g1sat*(D0-dw))/D0)),g1ave*MAX(B0*L0-Cx*Cy,0)*MAX(D0-t,0)+gc*Cx*Cy*MAX(D0-t,0)+t*B0*L0*gc+Qc)</x:f>
      </x:c>
      <x:c r="H56" s="16" t="e">
        <x:f>LET(shape,B56,B0,D56,L0,E56,D0,F56,dw,Shallow_Input!L56,g1u,Shallow_Input!R56,g1sat,Shallow_Input!S56,gw,Shallow_Input!AA56,g2u,Shallow_Input!V56,g2sat,Shallow_Input!W56,analysis,C56,c2,Shallow_Input!X56,phi1,Shallow_Input!U56,phi2,Shallow_Input!Y56,Bef,R56,Nq,V56,Nc,W56,Ny,X56,Fcs,Y56,Fqs,Z56,Fys,AA56,Fcd,AB56,Fqd,AC56,Fyd,AD56,Fci,AE56,Fqi,AF56,Fyi,AG56,g1ave,IF(dw&gt;=D0,g1u,IF(dw&lt;=0,g1sat,(g1u*dw+g1sat*(D0-dw))/D0)),g1eff,IF(dw&gt;=D0,g1u,IF(dw&lt;=0,g1sat-gw,(g1u*dw+(g1sat-gw)*(D0-dw))/D0)),g2width,IF(shape="S",B0,Bef),g2ave,IF(dw&gt;=D0+g2width,g2u,IF(dw&lt;=D0,g2sat,(g2u*(dw-D0)+g2sat*(g2width-(dw-D0)))/g2width)),g2eff,IF(dw&gt;=D0+g2width,g2u,IF(dw&lt;=D0,g2sat-gw,(g2u*(dw-D0)+(g2sat-gw)*(g2width-(dw-D0)))/g2width)),g1used,IF(analysis="T",g1ave,g1eff),g2used,IF(analysis="T",g2ave,g2eff),q,g1used*D0,c2*Nc*Fcs*Fcd*Fci+q*Nq*Fqs*Fqd*Fqi+0.5*Bef*g2used*Ny*Fys*Fyd*Fyi)</x:f>
      </x:c>
      <x:c r="I56" s="16" t="e">
        <x:f>H56/Shallow_Input!AB56</x:f>
      </x:c>
      <x:c r="J56" s="16" t="e">
        <x:f>H56*T56</x:f>
      </x:c>
      <x:c r="K56" s="16" t="e">
        <x:f>I56*T56</x:f>
      </x:c>
      <x:c r="L56" s="16" t="e">
        <x:f>G56/(D56*E56)*(1+6*N56/D56+6*O56/E56)</x:f>
      </x:c>
      <x:c r="M56" s="16" t="e">
        <x:f>G56/(D56*E56)*(1-6*N56/D56-6*O56/E56)</x:f>
      </x:c>
      <x:c r="N56" s="16" t="e">
        <x:f>ABS((Shallow_Input!Z56*Shallow_Input!H56*Shallow_Input!I56*MAX(Shallow_Input!F56-Shallow_Input!G56,0)+Shallow_Input!M56)*Shallow_Input!J56+Shallow_Input!P56*Shallow_Input!F56+Shallow_Input!O56)/G56</x:f>
      </x:c>
      <x:c r="O56" s="16" t="e">
        <x:f>ABS(((Shallow_Input!Z56*Shallow_Input!H56*Shallow_Input!I56*MAX(Shallow_Input!F56-Shallow_Input!G56,0)+Shallow_Input!M56)*IF(B56="S",0,Shallow_Input!K56)+Shallow_Input!Q56*Shallow_Input!F56+IF(B56="S",0,Shallow_Input!N56))/G56)</x:f>
      </x:c>
      <x:c r="P56" s="16" t="e">
        <x:f>D56-2*N56</x:f>
      </x:c>
      <x:c r="Q56" s="16" t="e">
        <x:f>E56-2*O56</x:f>
      </x:c>
      <x:c r="R56" s="16" t="e">
        <x:f>MAX(P56,0.000001)</x:f>
      </x:c>
      <x:c r="S56" s="16" t="e">
        <x:f>IF(B56="S",1,MAX(Q56,0.000001))</x:f>
      </x:c>
      <x:c r="T56" s="16" t="e">
        <x:f>R56*S56</x:f>
      </x:c>
      <x:c r="U56" s="16" t="e">
        <x:f>DEGREES(ATAN(SQRT(Shallow_Input!P56^2+Shallow_Input!Q56^2)/G56))</x:f>
      </x:c>
      <x:c r="V56" s="16" t="n">
        <x:f>EXP(PI()*TAN(RADIANS(Shallow_Input!Y56)))*TAN(PI()/4+RADIANS(Shallow_Input!Y56)/2)^2</x:f>
        <x:v>0.9999999999999998</x:v>
      </x:c>
      <x:c r="W56" s="16" t="n">
        <x:f>IF(ABS(TAN(RADIANS(Shallow_Input!Y56)))&gt;0.0000001,(V56-1)/TAN(RADIANS(Shallow_Input!Y56)),5.14)</x:f>
        <x:v>5.14</x:v>
      </x:c>
      <x:c r="X56" s="16" t="n">
        <x:f>2*(V56+1)*TAN(RADIANS(Shallow_Input!Y56))</x:f>
        <x:v>0</x:v>
      </x:c>
      <x:c r="Y56" s="16" t="e">
        <x:f>IF(B56="S",1,1+R56/S56*V56/MAX(W56,0.000001))</x:f>
      </x:c>
      <x:c r="Z56" s="16" t="e">
        <x:f>IF(B56="S",1,1+R56/S56*TAN(RADIANS(Shallow_Input!Y56)))</x:f>
      </x:c>
      <x:c r="AA56" s="16" t="e">
        <x:f>IF(B56="S",1,1-0.4*R56/S56)</x:f>
      </x:c>
      <x:c r="AB56" s="16" t="e">
        <x:f>1+0.4*IF(F56/MAX(R56,0.000001)&lt;=1,F56/MAX(R56,0.000001),ATAN(F56/MAX(R56,0.000001)))</x:f>
      </x:c>
      <x:c r="AC56" s="16" t="e">
        <x:f>1+2*TAN(RADIANS(Shallow_Input!U56))*(1-SIN(RADIANS(Shallow_Input!U56)))^2*IF(F56/MAX(R56,0.000001)&lt;=1,F56/MAX(R56,0.000001),ATAN(F56/MAX(R56,0.000001)))</x:f>
      </x:c>
      <x:c r="AD56" s="16" t="n">
        <x:f>1</x:f>
        <x:v>1</x:v>
      </x:c>
      <x:c r="AE56" s="16" t="e">
        <x:f>(1-U56/90)^2</x:f>
      </x:c>
      <x:c r="AF56" s="16" t="e">
        <x:f>(1-U56/90)^2</x:f>
      </x:c>
      <x:c r="AG56" s="16" t="n">
        <x:f>IF(Shallow_Input!Y56&gt;0,(1-U56/Shallow_Input!Y56)^2,1)</x:f>
        <x:v>1</x:v>
      </x:c>
      <x:c r="AH56" s="16" t="e">
        <x:f>J56/MAX(G56,0.000001)</x:f>
      </x:c>
      <x:c r="AI56" s="16" t="e">
        <x:f>H56/MAX(L56,0.000001)</x:f>
      </x:c>
      <x:c r="AJ56" s="16" t="e">
        <x:f>IF(K56&gt;=G56,"OK","NG")</x:f>
      </x:c>
      <x:c r="AK56" s="16" t="e">
        <x:f>IF(I56&gt;=L56,"OK","NG")</x:f>
      </x:c>
      <x:c r="AL56" s="16" t="e">
        <x:f>IF(M56&gt;=0,"OK","NG")</x:f>
      </x:c>
      <x:c r="AM56" s="16" t="e">
        <x:f>IF(F56/MAX(R56,0.000001)&lt;=1,"Shallow","Deep")</x:f>
      </x:c>
    </x:row>
    <x:row r="57">
      <x:c r="A57" s="16" t="n">
        <x:f>Shallow_Input!A57</x:f>
        <x:v>0</x:v>
      </x:c>
      <x:c r="B57" s="16" t="n">
        <x:f>Shallow_Input!B57</x:f>
        <x:v>0</x:v>
      </x:c>
      <x:c r="C57" s="16" t="n">
        <x:f>Shallow_Input!C57</x:f>
        <x:v>0</x:v>
      </x:c>
      <x:c r="D57" s="16" t="n">
        <x:f>Shallow_Input!D57</x:f>
        <x:v>0</x:v>
      </x:c>
      <x:c r="E57" s="16" t="e">
        <x:f>IF(B57="S",1,Shallow_Input!E57)</x:f>
      </x:c>
      <x:c r="F57" s="16" t="n">
        <x:f>Shallow_Input!F57</x:f>
        <x:v>0</x:v>
      </x:c>
      <x:c r="G57" s="16" t="e">
        <x:f>LET(B0,D57,L0,E57,D0,F57,t,Shallow_Input!G57,Cx,Shallow_Input!H57,Cy,Shallow_Input!I57,Ox,Shallow_Input!J57,Oy,IF(B57="S",0,Shallow_Input!K57),dw,Shallow_Input!L57,Qc,Shallow_Input!M57,g1u,Shallow_Input!R57,g1sat,Shallow_Input!S57,gc,Shallow_Input!Z57,g1ave,IF(dw&gt;=D0,g1u,IF(dw&lt;=0,g1sat,(g1u*dw+g1sat*(D0-dw))/D0)),g1ave*MAX(B0*L0-Cx*Cy,0)*MAX(D0-t,0)+gc*Cx*Cy*MAX(D0-t,0)+t*B0*L0*gc+Qc)</x:f>
      </x:c>
      <x:c r="H57" s="16" t="e">
        <x:f>LET(shape,B57,B0,D57,L0,E57,D0,F57,dw,Shallow_Input!L57,g1u,Shallow_Input!R57,g1sat,Shallow_Input!S57,gw,Shallow_Input!AA57,g2u,Shallow_Input!V57,g2sat,Shallow_Input!W57,analysis,C57,c2,Shallow_Input!X57,phi1,Shallow_Input!U57,phi2,Shallow_Input!Y57,Bef,R57,Nq,V57,Nc,W57,Ny,X57,Fcs,Y57,Fqs,Z57,Fys,AA57,Fcd,AB57,Fqd,AC57,Fyd,AD57,Fci,AE57,Fqi,AF57,Fyi,AG57,g1ave,IF(dw&gt;=D0,g1u,IF(dw&lt;=0,g1sat,(g1u*dw+g1sat*(D0-dw))/D0)),g1eff,IF(dw&gt;=D0,g1u,IF(dw&lt;=0,g1sat-gw,(g1u*dw+(g1sat-gw)*(D0-dw))/D0)),g2width,IF(shape="S",B0,Bef),g2ave,IF(dw&gt;=D0+g2width,g2u,IF(dw&lt;=D0,g2sat,(g2u*(dw-D0)+g2sat*(g2width-(dw-D0)))/g2width)),g2eff,IF(dw&gt;=D0+g2width,g2u,IF(dw&lt;=D0,g2sat-gw,(g2u*(dw-D0)+(g2sat-gw)*(g2width-(dw-D0)))/g2width)),g1used,IF(analysis="T",g1ave,g1eff),g2used,IF(analysis="T",g2ave,g2eff),q,g1used*D0,c2*Nc*Fcs*Fcd*Fci+q*Nq*Fqs*Fqd*Fqi+0.5*Bef*g2used*Ny*Fys*Fyd*Fyi)</x:f>
      </x:c>
      <x:c r="I57" s="16" t="e">
        <x:f>H57/Shallow_Input!AB57</x:f>
      </x:c>
      <x:c r="J57" s="16" t="e">
        <x:f>H57*T57</x:f>
      </x:c>
      <x:c r="K57" s="16" t="e">
        <x:f>I57*T57</x:f>
      </x:c>
      <x:c r="L57" s="16" t="e">
        <x:f>G57/(D57*E57)*(1+6*N57/D57+6*O57/E57)</x:f>
      </x:c>
      <x:c r="M57" s="16" t="e">
        <x:f>G57/(D57*E57)*(1-6*N57/D57-6*O57/E57)</x:f>
      </x:c>
      <x:c r="N57" s="16" t="e">
        <x:f>ABS((Shallow_Input!Z57*Shallow_Input!H57*Shallow_Input!I57*MAX(Shallow_Input!F57-Shallow_Input!G57,0)+Shallow_Input!M57)*Shallow_Input!J57+Shallow_Input!P57*Shallow_Input!F57+Shallow_Input!O57)/G57</x:f>
      </x:c>
      <x:c r="O57" s="16" t="e">
        <x:f>ABS(((Shallow_Input!Z57*Shallow_Input!H57*Shallow_Input!I57*MAX(Shallow_Input!F57-Shallow_Input!G57,0)+Shallow_Input!M57)*IF(B57="S",0,Shallow_Input!K57)+Shallow_Input!Q57*Shallow_Input!F57+IF(B57="S",0,Shallow_Input!N57))/G57)</x:f>
      </x:c>
      <x:c r="P57" s="16" t="e">
        <x:f>D57-2*N57</x:f>
      </x:c>
      <x:c r="Q57" s="16" t="e">
        <x:f>E57-2*O57</x:f>
      </x:c>
      <x:c r="R57" s="16" t="e">
        <x:f>MAX(P57,0.000001)</x:f>
      </x:c>
      <x:c r="S57" s="16" t="e">
        <x:f>IF(B57="S",1,MAX(Q57,0.000001))</x:f>
      </x:c>
      <x:c r="T57" s="16" t="e">
        <x:f>R57*S57</x:f>
      </x:c>
      <x:c r="U57" s="16" t="e">
        <x:f>DEGREES(ATAN(SQRT(Shallow_Input!P57^2+Shallow_Input!Q57^2)/G57))</x:f>
      </x:c>
      <x:c r="V57" s="16" t="n">
        <x:f>EXP(PI()*TAN(RADIANS(Shallow_Input!Y57)))*TAN(PI()/4+RADIANS(Shallow_Input!Y57)/2)^2</x:f>
        <x:v>0.9999999999999998</x:v>
      </x:c>
      <x:c r="W57" s="16" t="n">
        <x:f>IF(ABS(TAN(RADIANS(Shallow_Input!Y57)))&gt;0.0000001,(V57-1)/TAN(RADIANS(Shallow_Input!Y57)),5.14)</x:f>
        <x:v>5.14</x:v>
      </x:c>
      <x:c r="X57" s="16" t="n">
        <x:f>2*(V57+1)*TAN(RADIANS(Shallow_Input!Y57))</x:f>
        <x:v>0</x:v>
      </x:c>
      <x:c r="Y57" s="16" t="e">
        <x:f>IF(B57="S",1,1+R57/S57*V57/MAX(W57,0.000001))</x:f>
      </x:c>
      <x:c r="Z57" s="16" t="e">
        <x:f>IF(B57="S",1,1+R57/S57*TAN(RADIANS(Shallow_Input!Y57)))</x:f>
      </x:c>
      <x:c r="AA57" s="16" t="e">
        <x:f>IF(B57="S",1,1-0.4*R57/S57)</x:f>
      </x:c>
      <x:c r="AB57" s="16" t="e">
        <x:f>1+0.4*IF(F57/MAX(R57,0.000001)&lt;=1,F57/MAX(R57,0.000001),ATAN(F57/MAX(R57,0.000001)))</x:f>
      </x:c>
      <x:c r="AC57" s="16" t="e">
        <x:f>1+2*TAN(RADIANS(Shallow_Input!U57))*(1-SIN(RADIANS(Shallow_Input!U57)))^2*IF(F57/MAX(R57,0.000001)&lt;=1,F57/MAX(R57,0.000001),ATAN(F57/MAX(R57,0.000001)))</x:f>
      </x:c>
      <x:c r="AD57" s="16" t="n">
        <x:f>1</x:f>
        <x:v>1</x:v>
      </x:c>
      <x:c r="AE57" s="16" t="e">
        <x:f>(1-U57/90)^2</x:f>
      </x:c>
      <x:c r="AF57" s="16" t="e">
        <x:f>(1-U57/90)^2</x:f>
      </x:c>
      <x:c r="AG57" s="16" t="n">
        <x:f>IF(Shallow_Input!Y57&gt;0,(1-U57/Shallow_Input!Y57)^2,1)</x:f>
        <x:v>1</x:v>
      </x:c>
      <x:c r="AH57" s="16" t="e">
        <x:f>J57/MAX(G57,0.000001)</x:f>
      </x:c>
      <x:c r="AI57" s="16" t="e">
        <x:f>H57/MAX(L57,0.000001)</x:f>
      </x:c>
      <x:c r="AJ57" s="16" t="e">
        <x:f>IF(K57&gt;=G57,"OK","NG")</x:f>
      </x:c>
      <x:c r="AK57" s="16" t="e">
        <x:f>IF(I57&gt;=L57,"OK","NG")</x:f>
      </x:c>
      <x:c r="AL57" s="16" t="e">
        <x:f>IF(M57&gt;=0,"OK","NG")</x:f>
      </x:c>
      <x:c r="AM57" s="16" t="e">
        <x:f>IF(F57/MAX(R57,0.000001)&lt;=1,"Shallow","Deep")</x:f>
      </x:c>
    </x:row>
    <x:row r="58">
      <x:c r="A58" s="16" t="n">
        <x:f>Shallow_Input!A58</x:f>
        <x:v>0</x:v>
      </x:c>
      <x:c r="B58" s="16" t="n">
        <x:f>Shallow_Input!B58</x:f>
        <x:v>0</x:v>
      </x:c>
      <x:c r="C58" s="16" t="n">
        <x:f>Shallow_Input!C58</x:f>
        <x:v>0</x:v>
      </x:c>
      <x:c r="D58" s="16" t="n">
        <x:f>Shallow_Input!D58</x:f>
        <x:v>0</x:v>
      </x:c>
      <x:c r="E58" s="16" t="e">
        <x:f>IF(B58="S",1,Shallow_Input!E58)</x:f>
      </x:c>
      <x:c r="F58" s="16" t="n">
        <x:f>Shallow_Input!F58</x:f>
        <x:v>0</x:v>
      </x:c>
      <x:c r="G58" s="16" t="e">
        <x:f>LET(B0,D58,L0,E58,D0,F58,t,Shallow_Input!G58,Cx,Shallow_Input!H58,Cy,Shallow_Input!I58,Ox,Shallow_Input!J58,Oy,IF(B58="S",0,Shallow_Input!K58),dw,Shallow_Input!L58,Qc,Shallow_Input!M58,g1u,Shallow_Input!R58,g1sat,Shallow_Input!S58,gc,Shallow_Input!Z58,g1ave,IF(dw&gt;=D0,g1u,IF(dw&lt;=0,g1sat,(g1u*dw+g1sat*(D0-dw))/D0)),g1ave*MAX(B0*L0-Cx*Cy,0)*MAX(D0-t,0)+gc*Cx*Cy*MAX(D0-t,0)+t*B0*L0*gc+Qc)</x:f>
      </x:c>
      <x:c r="H58" s="16" t="e">
        <x:f>LET(shape,B58,B0,D58,L0,E58,D0,F58,dw,Shallow_Input!L58,g1u,Shallow_Input!R58,g1sat,Shallow_Input!S58,gw,Shallow_Input!AA58,g2u,Shallow_Input!V58,g2sat,Shallow_Input!W58,analysis,C58,c2,Shallow_Input!X58,phi1,Shallow_Input!U58,phi2,Shallow_Input!Y58,Bef,R58,Nq,V58,Nc,W58,Ny,X58,Fcs,Y58,Fqs,Z58,Fys,AA58,Fcd,AB58,Fqd,AC58,Fyd,AD58,Fci,AE58,Fqi,AF58,Fyi,AG58,g1ave,IF(dw&gt;=D0,g1u,IF(dw&lt;=0,g1sat,(g1u*dw+g1sat*(D0-dw))/D0)),g1eff,IF(dw&gt;=D0,g1u,IF(dw&lt;=0,g1sat-gw,(g1u*dw+(g1sat-gw)*(D0-dw))/D0)),g2width,IF(shape="S",B0,Bef),g2ave,IF(dw&gt;=D0+g2width,g2u,IF(dw&lt;=D0,g2sat,(g2u*(dw-D0)+g2sat*(g2width-(dw-D0)))/g2width)),g2eff,IF(dw&gt;=D0+g2width,g2u,IF(dw&lt;=D0,g2sat-gw,(g2u*(dw-D0)+(g2sat-gw)*(g2width-(dw-D0)))/g2width)),g1used,IF(analysis="T",g1ave,g1eff),g2used,IF(analysis="T",g2ave,g2eff),q,g1used*D0,c2*Nc*Fcs*Fcd*Fci+q*Nq*Fqs*Fqd*Fqi+0.5*Bef*g2used*Ny*Fys*Fyd*Fyi)</x:f>
      </x:c>
      <x:c r="I58" s="16" t="e">
        <x:f>H58/Shallow_Input!AB58</x:f>
      </x:c>
      <x:c r="J58" s="16" t="e">
        <x:f>H58*T58</x:f>
      </x:c>
      <x:c r="K58" s="16" t="e">
        <x:f>I58*T58</x:f>
      </x:c>
      <x:c r="L58" s="16" t="e">
        <x:f>G58/(D58*E58)*(1+6*N58/D58+6*O58/E58)</x:f>
      </x:c>
      <x:c r="M58" s="16" t="e">
        <x:f>G58/(D58*E58)*(1-6*N58/D58-6*O58/E58)</x:f>
      </x:c>
      <x:c r="N58" s="16" t="e">
        <x:f>ABS((Shallow_Input!Z58*Shallow_Input!H58*Shallow_Input!I58*MAX(Shallow_Input!F58-Shallow_Input!G58,0)+Shallow_Input!M58)*Shallow_Input!J58+Shallow_Input!P58*Shallow_Input!F58+Shallow_Input!O58)/G58</x:f>
      </x:c>
      <x:c r="O58" s="16" t="e">
        <x:f>ABS(((Shallow_Input!Z58*Shallow_Input!H58*Shallow_Input!I58*MAX(Shallow_Input!F58-Shallow_Input!G58,0)+Shallow_Input!M58)*IF(B58="S",0,Shallow_Input!K58)+Shallow_Input!Q58*Shallow_Input!F58+IF(B58="S",0,Shallow_Input!N58))/G58)</x:f>
      </x:c>
      <x:c r="P58" s="16" t="e">
        <x:f>D58-2*N58</x:f>
      </x:c>
      <x:c r="Q58" s="16" t="e">
        <x:f>E58-2*O58</x:f>
      </x:c>
      <x:c r="R58" s="16" t="e">
        <x:f>MAX(P58,0.000001)</x:f>
      </x:c>
      <x:c r="S58" s="16" t="e">
        <x:f>IF(B58="S",1,MAX(Q58,0.000001))</x:f>
      </x:c>
      <x:c r="T58" s="16" t="e">
        <x:f>R58*S58</x:f>
      </x:c>
      <x:c r="U58" s="16" t="e">
        <x:f>DEGREES(ATAN(SQRT(Shallow_Input!P58^2+Shallow_Input!Q58^2)/G58))</x:f>
      </x:c>
      <x:c r="V58" s="16" t="n">
        <x:f>EXP(PI()*TAN(RADIANS(Shallow_Input!Y58)))*TAN(PI()/4+RADIANS(Shallow_Input!Y58)/2)^2</x:f>
        <x:v>0.9999999999999998</x:v>
      </x:c>
      <x:c r="W58" s="16" t="n">
        <x:f>IF(ABS(TAN(RADIANS(Shallow_Input!Y58)))&gt;0.0000001,(V58-1)/TAN(RADIANS(Shallow_Input!Y58)),5.14)</x:f>
        <x:v>5.14</x:v>
      </x:c>
      <x:c r="X58" s="16" t="n">
        <x:f>2*(V58+1)*TAN(RADIANS(Shallow_Input!Y58))</x:f>
        <x:v>0</x:v>
      </x:c>
      <x:c r="Y58" s="16" t="e">
        <x:f>IF(B58="S",1,1+R58/S58*V58/MAX(W58,0.000001))</x:f>
      </x:c>
      <x:c r="Z58" s="16" t="e">
        <x:f>IF(B58="S",1,1+R58/S58*TAN(RADIANS(Shallow_Input!Y58)))</x:f>
      </x:c>
      <x:c r="AA58" s="16" t="e">
        <x:f>IF(B58="S",1,1-0.4*R58/S58)</x:f>
      </x:c>
      <x:c r="AB58" s="16" t="e">
        <x:f>1+0.4*IF(F58/MAX(R58,0.000001)&lt;=1,F58/MAX(R58,0.000001),ATAN(F58/MAX(R58,0.000001)))</x:f>
      </x:c>
      <x:c r="AC58" s="16" t="e">
        <x:f>1+2*TAN(RADIANS(Shallow_Input!U58))*(1-SIN(RADIANS(Shallow_Input!U58)))^2*IF(F58/MAX(R58,0.000001)&lt;=1,F58/MAX(R58,0.000001),ATAN(F58/MAX(R58,0.000001)))</x:f>
      </x:c>
      <x:c r="AD58" s="16" t="n">
        <x:f>1</x:f>
        <x:v>1</x:v>
      </x:c>
      <x:c r="AE58" s="16" t="e">
        <x:f>(1-U58/90)^2</x:f>
      </x:c>
      <x:c r="AF58" s="16" t="e">
        <x:f>(1-U58/90)^2</x:f>
      </x:c>
      <x:c r="AG58" s="16" t="n">
        <x:f>IF(Shallow_Input!Y58&gt;0,(1-U58/Shallow_Input!Y58)^2,1)</x:f>
        <x:v>1</x:v>
      </x:c>
      <x:c r="AH58" s="16" t="e">
        <x:f>J58/MAX(G58,0.000001)</x:f>
      </x:c>
      <x:c r="AI58" s="16" t="e">
        <x:f>H58/MAX(L58,0.000001)</x:f>
      </x:c>
      <x:c r="AJ58" s="16" t="e">
        <x:f>IF(K58&gt;=G58,"OK","NG")</x:f>
      </x:c>
      <x:c r="AK58" s="16" t="e">
        <x:f>IF(I58&gt;=L58,"OK","NG")</x:f>
      </x:c>
      <x:c r="AL58" s="16" t="e">
        <x:f>IF(M58&gt;=0,"OK","NG")</x:f>
      </x:c>
      <x:c r="AM58" s="16" t="e">
        <x:f>IF(F58/MAX(R58,0.000001)&lt;=1,"Shallow","Deep")</x:f>
      </x:c>
    </x:row>
    <x:row r="59">
      <x:c r="A59" s="16" t="n">
        <x:f>Shallow_Input!A59</x:f>
        <x:v>0</x:v>
      </x:c>
      <x:c r="B59" s="16" t="n">
        <x:f>Shallow_Input!B59</x:f>
        <x:v>0</x:v>
      </x:c>
      <x:c r="C59" s="16" t="n">
        <x:f>Shallow_Input!C59</x:f>
        <x:v>0</x:v>
      </x:c>
      <x:c r="D59" s="16" t="n">
        <x:f>Shallow_Input!D59</x:f>
        <x:v>0</x:v>
      </x:c>
      <x:c r="E59" s="16" t="e">
        <x:f>IF(B59="S",1,Shallow_Input!E59)</x:f>
      </x:c>
      <x:c r="F59" s="16" t="n">
        <x:f>Shallow_Input!F59</x:f>
        <x:v>0</x:v>
      </x:c>
      <x:c r="G59" s="16" t="e">
        <x:f>LET(B0,D59,L0,E59,D0,F59,t,Shallow_Input!G59,Cx,Shallow_Input!H59,Cy,Shallow_Input!I59,Ox,Shallow_Input!J59,Oy,IF(B59="S",0,Shallow_Input!K59),dw,Shallow_Input!L59,Qc,Shallow_Input!M59,g1u,Shallow_Input!R59,g1sat,Shallow_Input!S59,gc,Shallow_Input!Z59,g1ave,IF(dw&gt;=D0,g1u,IF(dw&lt;=0,g1sat,(g1u*dw+g1sat*(D0-dw))/D0)),g1ave*MAX(B0*L0-Cx*Cy,0)*MAX(D0-t,0)+gc*Cx*Cy*MAX(D0-t,0)+t*B0*L0*gc+Qc)</x:f>
      </x:c>
      <x:c r="H59" s="16" t="e">
        <x:f>LET(shape,B59,B0,D59,L0,E59,D0,F59,dw,Shallow_Input!L59,g1u,Shallow_Input!R59,g1sat,Shallow_Input!S59,gw,Shallow_Input!AA59,g2u,Shallow_Input!V59,g2sat,Shallow_Input!W59,analysis,C59,c2,Shallow_Input!X59,phi1,Shallow_Input!U59,phi2,Shallow_Input!Y59,Bef,R59,Nq,V59,Nc,W59,Ny,X59,Fcs,Y59,Fqs,Z59,Fys,AA59,Fcd,AB59,Fqd,AC59,Fyd,AD59,Fci,AE59,Fqi,AF59,Fyi,AG59,g1ave,IF(dw&gt;=D0,g1u,IF(dw&lt;=0,g1sat,(g1u*dw+g1sat*(D0-dw))/D0)),g1eff,IF(dw&gt;=D0,g1u,IF(dw&lt;=0,g1sat-gw,(g1u*dw+(g1sat-gw)*(D0-dw))/D0)),g2width,IF(shape="S",B0,Bef),g2ave,IF(dw&gt;=D0+g2width,g2u,IF(dw&lt;=D0,g2sat,(g2u*(dw-D0)+g2sat*(g2width-(dw-D0)))/g2width)),g2eff,IF(dw&gt;=D0+g2width,g2u,IF(dw&lt;=D0,g2sat-gw,(g2u*(dw-D0)+(g2sat-gw)*(g2width-(dw-D0)))/g2width)),g1used,IF(analysis="T",g1ave,g1eff),g2used,IF(analysis="T",g2ave,g2eff),q,g1used*D0,c2*Nc*Fcs*Fcd*Fci+q*Nq*Fqs*Fqd*Fqi+0.5*Bef*g2used*Ny*Fys*Fyd*Fyi)</x:f>
      </x:c>
      <x:c r="I59" s="16" t="e">
        <x:f>H59/Shallow_Input!AB59</x:f>
      </x:c>
      <x:c r="J59" s="16" t="e">
        <x:f>H59*T59</x:f>
      </x:c>
      <x:c r="K59" s="16" t="e">
        <x:f>I59*T59</x:f>
      </x:c>
      <x:c r="L59" s="16" t="e">
        <x:f>G59/(D59*E59)*(1+6*N59/D59+6*O59/E59)</x:f>
      </x:c>
      <x:c r="M59" s="16" t="e">
        <x:f>G59/(D59*E59)*(1-6*N59/D59-6*O59/E59)</x:f>
      </x:c>
      <x:c r="N59" s="16" t="e">
        <x:f>ABS((Shallow_Input!Z59*Shallow_Input!H59*Shallow_Input!I59*MAX(Shallow_Input!F59-Shallow_Input!G59,0)+Shallow_Input!M59)*Shallow_Input!J59+Shallow_Input!P59*Shallow_Input!F59+Shallow_Input!O59)/G59</x:f>
      </x:c>
      <x:c r="O59" s="16" t="e">
        <x:f>ABS(((Shallow_Input!Z59*Shallow_Input!H59*Shallow_Input!I59*MAX(Shallow_Input!F59-Shallow_Input!G59,0)+Shallow_Input!M59)*IF(B59="S",0,Shallow_Input!K59)+Shallow_Input!Q59*Shallow_Input!F59+IF(B59="S",0,Shallow_Input!N59))/G59)</x:f>
      </x:c>
      <x:c r="P59" s="16" t="e">
        <x:f>D59-2*N59</x:f>
      </x:c>
      <x:c r="Q59" s="16" t="e">
        <x:f>E59-2*O59</x:f>
      </x:c>
      <x:c r="R59" s="16" t="e">
        <x:f>MAX(P59,0.000001)</x:f>
      </x:c>
      <x:c r="S59" s="16" t="e">
        <x:f>IF(B59="S",1,MAX(Q59,0.000001))</x:f>
      </x:c>
      <x:c r="T59" s="16" t="e">
        <x:f>R59*S59</x:f>
      </x:c>
      <x:c r="U59" s="16" t="e">
        <x:f>DEGREES(ATAN(SQRT(Shallow_Input!P59^2+Shallow_Input!Q59^2)/G59))</x:f>
      </x:c>
      <x:c r="V59" s="16" t="n">
        <x:f>EXP(PI()*TAN(RADIANS(Shallow_Input!Y59)))*TAN(PI()/4+RADIANS(Shallow_Input!Y59)/2)^2</x:f>
        <x:v>0.9999999999999998</x:v>
      </x:c>
      <x:c r="W59" s="16" t="n">
        <x:f>IF(ABS(TAN(RADIANS(Shallow_Input!Y59)))&gt;0.0000001,(V59-1)/TAN(RADIANS(Shallow_Input!Y59)),5.14)</x:f>
        <x:v>5.14</x:v>
      </x:c>
      <x:c r="X59" s="16" t="n">
        <x:f>2*(V59+1)*TAN(RADIANS(Shallow_Input!Y59))</x:f>
        <x:v>0</x:v>
      </x:c>
      <x:c r="Y59" s="16" t="e">
        <x:f>IF(B59="S",1,1+R59/S59*V59/MAX(W59,0.000001))</x:f>
      </x:c>
      <x:c r="Z59" s="16" t="e">
        <x:f>IF(B59="S",1,1+R59/S59*TAN(RADIANS(Shallow_Input!Y59)))</x:f>
      </x:c>
      <x:c r="AA59" s="16" t="e">
        <x:f>IF(B59="S",1,1-0.4*R59/S59)</x:f>
      </x:c>
      <x:c r="AB59" s="16" t="e">
        <x:f>1+0.4*IF(F59/MAX(R59,0.000001)&lt;=1,F59/MAX(R59,0.000001),ATAN(F59/MAX(R59,0.000001)))</x:f>
      </x:c>
      <x:c r="AC59" s="16" t="e">
        <x:f>1+2*TAN(RADIANS(Shallow_Input!U59))*(1-SIN(RADIANS(Shallow_Input!U59)))^2*IF(F59/MAX(R59,0.000001)&lt;=1,F59/MAX(R59,0.000001),ATAN(F59/MAX(R59,0.000001)))</x:f>
      </x:c>
      <x:c r="AD59" s="16" t="n">
        <x:f>1</x:f>
        <x:v>1</x:v>
      </x:c>
      <x:c r="AE59" s="16" t="e">
        <x:f>(1-U59/90)^2</x:f>
      </x:c>
      <x:c r="AF59" s="16" t="e">
        <x:f>(1-U59/90)^2</x:f>
      </x:c>
      <x:c r="AG59" s="16" t="n">
        <x:f>IF(Shallow_Input!Y59&gt;0,(1-U59/Shallow_Input!Y59)^2,1)</x:f>
        <x:v>1</x:v>
      </x:c>
      <x:c r="AH59" s="16" t="e">
        <x:f>J59/MAX(G59,0.000001)</x:f>
      </x:c>
      <x:c r="AI59" s="16" t="e">
        <x:f>H59/MAX(L59,0.000001)</x:f>
      </x:c>
      <x:c r="AJ59" s="16" t="e">
        <x:f>IF(K59&gt;=G59,"OK","NG")</x:f>
      </x:c>
      <x:c r="AK59" s="16" t="e">
        <x:f>IF(I59&gt;=L59,"OK","NG")</x:f>
      </x:c>
      <x:c r="AL59" s="16" t="e">
        <x:f>IF(M59&gt;=0,"OK","NG")</x:f>
      </x:c>
      <x:c r="AM59" s="16" t="e">
        <x:f>IF(F59/MAX(R59,0.000001)&lt;=1,"Shallow","Deep")</x:f>
      </x:c>
    </x:row>
    <x:row r="60">
      <x:c r="A60" s="16" t="n">
        <x:f>Shallow_Input!A60</x:f>
        <x:v>0</x:v>
      </x:c>
      <x:c r="B60" s="16" t="n">
        <x:f>Shallow_Input!B60</x:f>
        <x:v>0</x:v>
      </x:c>
      <x:c r="C60" s="16" t="n">
        <x:f>Shallow_Input!C60</x:f>
        <x:v>0</x:v>
      </x:c>
      <x:c r="D60" s="16" t="n">
        <x:f>Shallow_Input!D60</x:f>
        <x:v>0</x:v>
      </x:c>
      <x:c r="E60" s="16" t="e">
        <x:f>IF(B60="S",1,Shallow_Input!E60)</x:f>
      </x:c>
      <x:c r="F60" s="16" t="n">
        <x:f>Shallow_Input!F60</x:f>
        <x:v>0</x:v>
      </x:c>
      <x:c r="G60" s="16" t="e">
        <x:f>LET(B0,D60,L0,E60,D0,F60,t,Shallow_Input!G60,Cx,Shallow_Input!H60,Cy,Shallow_Input!I60,Ox,Shallow_Input!J60,Oy,IF(B60="S",0,Shallow_Input!K60),dw,Shallow_Input!L60,Qc,Shallow_Input!M60,g1u,Shallow_Input!R60,g1sat,Shallow_Input!S60,gc,Shallow_Input!Z60,g1ave,IF(dw&gt;=D0,g1u,IF(dw&lt;=0,g1sat,(g1u*dw+g1sat*(D0-dw))/D0)),g1ave*MAX(B0*L0-Cx*Cy,0)*MAX(D0-t,0)+gc*Cx*Cy*MAX(D0-t,0)+t*B0*L0*gc+Qc)</x:f>
      </x:c>
      <x:c r="H60" s="16" t="e">
        <x:f>LET(shape,B60,B0,D60,L0,E60,D0,F60,dw,Shallow_Input!L60,g1u,Shallow_Input!R60,g1sat,Shallow_Input!S60,gw,Shallow_Input!AA60,g2u,Shallow_Input!V60,g2sat,Shallow_Input!W60,analysis,C60,c2,Shallow_Input!X60,phi1,Shallow_Input!U60,phi2,Shallow_Input!Y60,Bef,R60,Nq,V60,Nc,W60,Ny,X60,Fcs,Y60,Fqs,Z60,Fys,AA60,Fcd,AB60,Fqd,AC60,Fyd,AD60,Fci,AE60,Fqi,AF60,Fyi,AG60,g1ave,IF(dw&gt;=D0,g1u,IF(dw&lt;=0,g1sat,(g1u*dw+g1sat*(D0-dw))/D0)),g1eff,IF(dw&gt;=D0,g1u,IF(dw&lt;=0,g1sat-gw,(g1u*dw+(g1sat-gw)*(D0-dw))/D0)),g2width,IF(shape="S",B0,Bef),g2ave,IF(dw&gt;=D0+g2width,g2u,IF(dw&lt;=D0,g2sat,(g2u*(dw-D0)+g2sat*(g2width-(dw-D0)))/g2width)),g2eff,IF(dw&gt;=D0+g2width,g2u,IF(dw&lt;=D0,g2sat-gw,(g2u*(dw-D0)+(g2sat-gw)*(g2width-(dw-D0)))/g2width)),g1used,IF(analysis="T",g1ave,g1eff),g2used,IF(analysis="T",g2ave,g2eff),q,g1used*D0,c2*Nc*Fcs*Fcd*Fci+q*Nq*Fqs*Fqd*Fqi+0.5*Bef*g2used*Ny*Fys*Fyd*Fyi)</x:f>
      </x:c>
      <x:c r="I60" s="16" t="e">
        <x:f>H60/Shallow_Input!AB60</x:f>
      </x:c>
      <x:c r="J60" s="16" t="e">
        <x:f>H60*T60</x:f>
      </x:c>
      <x:c r="K60" s="16" t="e">
        <x:f>I60*T60</x:f>
      </x:c>
      <x:c r="L60" s="16" t="e">
        <x:f>G60/(D60*E60)*(1+6*N60/D60+6*O60/E60)</x:f>
      </x:c>
      <x:c r="M60" s="16" t="e">
        <x:f>G60/(D60*E60)*(1-6*N60/D60-6*O60/E60)</x:f>
      </x:c>
      <x:c r="N60" s="16" t="e">
        <x:f>ABS((Shallow_Input!Z60*Shallow_Input!H60*Shallow_Input!I60*MAX(Shallow_Input!F60-Shallow_Input!G60,0)+Shallow_Input!M60)*Shallow_Input!J60+Shallow_Input!P60*Shallow_Input!F60+Shallow_Input!O60)/G60</x:f>
      </x:c>
      <x:c r="O60" s="16" t="e">
        <x:f>ABS(((Shallow_Input!Z60*Shallow_Input!H60*Shallow_Input!I60*MAX(Shallow_Input!F60-Shallow_Input!G60,0)+Shallow_Input!M60)*IF(B60="S",0,Shallow_Input!K60)+Shallow_Input!Q60*Shallow_Input!F60+IF(B60="S",0,Shallow_Input!N60))/G60)</x:f>
      </x:c>
      <x:c r="P60" s="16" t="e">
        <x:f>D60-2*N60</x:f>
      </x:c>
      <x:c r="Q60" s="16" t="e">
        <x:f>E60-2*O60</x:f>
      </x:c>
      <x:c r="R60" s="16" t="e">
        <x:f>MAX(P60,0.000001)</x:f>
      </x:c>
      <x:c r="S60" s="16" t="e">
        <x:f>IF(B60="S",1,MAX(Q60,0.000001))</x:f>
      </x:c>
      <x:c r="T60" s="16" t="e">
        <x:f>R60*S60</x:f>
      </x:c>
      <x:c r="U60" s="16" t="e">
        <x:f>DEGREES(ATAN(SQRT(Shallow_Input!P60^2+Shallow_Input!Q60^2)/G60))</x:f>
      </x:c>
      <x:c r="V60" s="16" t="n">
        <x:f>EXP(PI()*TAN(RADIANS(Shallow_Input!Y60)))*TAN(PI()/4+RADIANS(Shallow_Input!Y60)/2)^2</x:f>
        <x:v>0.9999999999999998</x:v>
      </x:c>
      <x:c r="W60" s="16" t="n">
        <x:f>IF(ABS(TAN(RADIANS(Shallow_Input!Y60)))&gt;0.0000001,(V60-1)/TAN(RADIANS(Shallow_Input!Y60)),5.14)</x:f>
        <x:v>5.14</x:v>
      </x:c>
      <x:c r="X60" s="16" t="n">
        <x:f>2*(V60+1)*TAN(RADIANS(Shallow_Input!Y60))</x:f>
        <x:v>0</x:v>
      </x:c>
      <x:c r="Y60" s="16" t="e">
        <x:f>IF(B60="S",1,1+R60/S60*V60/MAX(W60,0.000001))</x:f>
      </x:c>
      <x:c r="Z60" s="16" t="e">
        <x:f>IF(B60="S",1,1+R60/S60*TAN(RADIANS(Shallow_Input!Y60)))</x:f>
      </x:c>
      <x:c r="AA60" s="16" t="e">
        <x:f>IF(B60="S",1,1-0.4*R60/S60)</x:f>
      </x:c>
      <x:c r="AB60" s="16" t="e">
        <x:f>1+0.4*IF(F60/MAX(R60,0.000001)&lt;=1,F60/MAX(R60,0.000001),ATAN(F60/MAX(R60,0.000001)))</x:f>
      </x:c>
      <x:c r="AC60" s="16" t="e">
        <x:f>1+2*TAN(RADIANS(Shallow_Input!U60))*(1-SIN(RADIANS(Shallow_Input!U60)))^2*IF(F60/MAX(R60,0.000001)&lt;=1,F60/MAX(R60,0.000001),ATAN(F60/MAX(R60,0.000001)))</x:f>
      </x:c>
      <x:c r="AD60" s="16" t="n">
        <x:f>1</x:f>
        <x:v>1</x:v>
      </x:c>
      <x:c r="AE60" s="16" t="e">
        <x:f>(1-U60/90)^2</x:f>
      </x:c>
      <x:c r="AF60" s="16" t="e">
        <x:f>(1-U60/90)^2</x:f>
      </x:c>
      <x:c r="AG60" s="16" t="n">
        <x:f>IF(Shallow_Input!Y60&gt;0,(1-U60/Shallow_Input!Y60)^2,1)</x:f>
        <x:v>1</x:v>
      </x:c>
      <x:c r="AH60" s="16" t="e">
        <x:f>J60/MAX(G60,0.000001)</x:f>
      </x:c>
      <x:c r="AI60" s="16" t="e">
        <x:f>H60/MAX(L60,0.000001)</x:f>
      </x:c>
      <x:c r="AJ60" s="16" t="e">
        <x:f>IF(K60&gt;=G60,"OK","NG")</x:f>
      </x:c>
      <x:c r="AK60" s="16" t="e">
        <x:f>IF(I60&gt;=L60,"OK","NG")</x:f>
      </x:c>
      <x:c r="AL60" s="16" t="e">
        <x:f>IF(M60&gt;=0,"OK","NG")</x:f>
      </x:c>
      <x:c r="AM60" s="16" t="e">
        <x:f>IF(F60/MAX(R60,0.000001)&lt;=1,"Shallow","Deep")</x:f>
      </x:c>
    </x:row>
    <x:row r="61">
      <x:c r="A61" s="16" t="n">
        <x:f>Shallow_Input!A61</x:f>
        <x:v>0</x:v>
      </x:c>
      <x:c r="B61" s="16" t="n">
        <x:f>Shallow_Input!B61</x:f>
        <x:v>0</x:v>
      </x:c>
      <x:c r="C61" s="16" t="n">
        <x:f>Shallow_Input!C61</x:f>
        <x:v>0</x:v>
      </x:c>
      <x:c r="D61" s="16" t="n">
        <x:f>Shallow_Input!D61</x:f>
        <x:v>0</x:v>
      </x:c>
      <x:c r="E61" s="16" t="e">
        <x:f>IF(B61="S",1,Shallow_Input!E61)</x:f>
      </x:c>
      <x:c r="F61" s="16" t="n">
        <x:f>Shallow_Input!F61</x:f>
        <x:v>0</x:v>
      </x:c>
      <x:c r="G61" s="16" t="e">
        <x:f>LET(B0,D61,L0,E61,D0,F61,t,Shallow_Input!G61,Cx,Shallow_Input!H61,Cy,Shallow_Input!I61,Ox,Shallow_Input!J61,Oy,IF(B61="S",0,Shallow_Input!K61),dw,Shallow_Input!L61,Qc,Shallow_Input!M61,g1u,Shallow_Input!R61,g1sat,Shallow_Input!S61,gc,Shallow_Input!Z61,g1ave,IF(dw&gt;=D0,g1u,IF(dw&lt;=0,g1sat,(g1u*dw+g1sat*(D0-dw))/D0)),g1ave*MAX(B0*L0-Cx*Cy,0)*MAX(D0-t,0)+gc*Cx*Cy*MAX(D0-t,0)+t*B0*L0*gc+Qc)</x:f>
      </x:c>
      <x:c r="H61" s="16" t="e">
        <x:f>LET(shape,B61,B0,D61,L0,E61,D0,F61,dw,Shallow_Input!L61,g1u,Shallow_Input!R61,g1sat,Shallow_Input!S61,gw,Shallow_Input!AA61,g2u,Shallow_Input!V61,g2sat,Shallow_Input!W61,analysis,C61,c2,Shallow_Input!X61,phi1,Shallow_Input!U61,phi2,Shallow_Input!Y61,Bef,R61,Nq,V61,Nc,W61,Ny,X61,Fcs,Y61,Fqs,Z61,Fys,AA61,Fcd,AB61,Fqd,AC61,Fyd,AD61,Fci,AE61,Fqi,AF61,Fyi,AG61,g1ave,IF(dw&gt;=D0,g1u,IF(dw&lt;=0,g1sat,(g1u*dw+g1sat*(D0-dw))/D0)),g1eff,IF(dw&gt;=D0,g1u,IF(dw&lt;=0,g1sat-gw,(g1u*dw+(g1sat-gw)*(D0-dw))/D0)),g2width,IF(shape="S",B0,Bef),g2ave,IF(dw&gt;=D0+g2width,g2u,IF(dw&lt;=D0,g2sat,(g2u*(dw-D0)+g2sat*(g2width-(dw-D0)))/g2width)),g2eff,IF(dw&gt;=D0+g2width,g2u,IF(dw&lt;=D0,g2sat-gw,(g2u*(dw-D0)+(g2sat-gw)*(g2width-(dw-D0)))/g2width)),g1used,IF(analysis="T",g1ave,g1eff),g2used,IF(analysis="T",g2ave,g2eff),q,g1used*D0,c2*Nc*Fcs*Fcd*Fci+q*Nq*Fqs*Fqd*Fqi+0.5*Bef*g2used*Ny*Fys*Fyd*Fyi)</x:f>
      </x:c>
      <x:c r="I61" s="16" t="e">
        <x:f>H61/Shallow_Input!AB61</x:f>
      </x:c>
      <x:c r="J61" s="16" t="e">
        <x:f>H61*T61</x:f>
      </x:c>
      <x:c r="K61" s="16" t="e">
        <x:f>I61*T61</x:f>
      </x:c>
      <x:c r="L61" s="16" t="e">
        <x:f>G61/(D61*E61)*(1+6*N61/D61+6*O61/E61)</x:f>
      </x:c>
      <x:c r="M61" s="16" t="e">
        <x:f>G61/(D61*E61)*(1-6*N61/D61-6*O61/E61)</x:f>
      </x:c>
      <x:c r="N61" s="16" t="e">
        <x:f>ABS((Shallow_Input!Z61*Shallow_Input!H61*Shallow_Input!I61*MAX(Shallow_Input!F61-Shallow_Input!G61,0)+Shallow_Input!M61)*Shallow_Input!J61+Shallow_Input!P61*Shallow_Input!F61+Shallow_Input!O61)/G61</x:f>
      </x:c>
      <x:c r="O61" s="16" t="e">
        <x:f>ABS(((Shallow_Input!Z61*Shallow_Input!H61*Shallow_Input!I61*MAX(Shallow_Input!F61-Shallow_Input!G61,0)+Shallow_Input!M61)*IF(B61="S",0,Shallow_Input!K61)+Shallow_Input!Q61*Shallow_Input!F61+IF(B61="S",0,Shallow_Input!N61))/G61)</x:f>
      </x:c>
      <x:c r="P61" s="16" t="e">
        <x:f>D61-2*N61</x:f>
      </x:c>
      <x:c r="Q61" s="16" t="e">
        <x:f>E61-2*O61</x:f>
      </x:c>
      <x:c r="R61" s="16" t="e">
        <x:f>MAX(P61,0.000001)</x:f>
      </x:c>
      <x:c r="S61" s="16" t="e">
        <x:f>IF(B61="S",1,MAX(Q61,0.000001))</x:f>
      </x:c>
      <x:c r="T61" s="16" t="e">
        <x:f>R61*S61</x:f>
      </x:c>
      <x:c r="U61" s="16" t="e">
        <x:f>DEGREES(ATAN(SQRT(Shallow_Input!P61^2+Shallow_Input!Q61^2)/G61))</x:f>
      </x:c>
      <x:c r="V61" s="16" t="n">
        <x:f>EXP(PI()*TAN(RADIANS(Shallow_Input!Y61)))*TAN(PI()/4+RADIANS(Shallow_Input!Y61)/2)^2</x:f>
        <x:v>0.9999999999999998</x:v>
      </x:c>
      <x:c r="W61" s="16" t="n">
        <x:f>IF(ABS(TAN(RADIANS(Shallow_Input!Y61)))&gt;0.0000001,(V61-1)/TAN(RADIANS(Shallow_Input!Y61)),5.14)</x:f>
        <x:v>5.14</x:v>
      </x:c>
      <x:c r="X61" s="16" t="n">
        <x:f>2*(V61+1)*TAN(RADIANS(Shallow_Input!Y61))</x:f>
        <x:v>0</x:v>
      </x:c>
      <x:c r="Y61" s="16" t="e">
        <x:f>IF(B61="S",1,1+R61/S61*V61/MAX(W61,0.000001))</x:f>
      </x:c>
      <x:c r="Z61" s="16" t="e">
        <x:f>IF(B61="S",1,1+R61/S61*TAN(RADIANS(Shallow_Input!Y61)))</x:f>
      </x:c>
      <x:c r="AA61" s="16" t="e">
        <x:f>IF(B61="S",1,1-0.4*R61/S61)</x:f>
      </x:c>
      <x:c r="AB61" s="16" t="e">
        <x:f>1+0.4*IF(F61/MAX(R61,0.000001)&lt;=1,F61/MAX(R61,0.000001),ATAN(F61/MAX(R61,0.000001)))</x:f>
      </x:c>
      <x:c r="AC61" s="16" t="e">
        <x:f>1+2*TAN(RADIANS(Shallow_Input!U61))*(1-SIN(RADIANS(Shallow_Input!U61)))^2*IF(F61/MAX(R61,0.000001)&lt;=1,F61/MAX(R61,0.000001),ATAN(F61/MAX(R61,0.000001)))</x:f>
      </x:c>
      <x:c r="AD61" s="16" t="n">
        <x:f>1</x:f>
        <x:v>1</x:v>
      </x:c>
      <x:c r="AE61" s="16" t="e">
        <x:f>(1-U61/90)^2</x:f>
      </x:c>
      <x:c r="AF61" s="16" t="e">
        <x:f>(1-U61/90)^2</x:f>
      </x:c>
      <x:c r="AG61" s="16" t="n">
        <x:f>IF(Shallow_Input!Y61&gt;0,(1-U61/Shallow_Input!Y61)^2,1)</x:f>
        <x:v>1</x:v>
      </x:c>
      <x:c r="AH61" s="16" t="e">
        <x:f>J61/MAX(G61,0.000001)</x:f>
      </x:c>
      <x:c r="AI61" s="16" t="e">
        <x:f>H61/MAX(L61,0.000001)</x:f>
      </x:c>
      <x:c r="AJ61" s="16" t="e">
        <x:f>IF(K61&gt;=G61,"OK","NG")</x:f>
      </x:c>
      <x:c r="AK61" s="16" t="e">
        <x:f>IF(I61&gt;=L61,"OK","NG")</x:f>
      </x:c>
      <x:c r="AL61" s="16" t="e">
        <x:f>IF(M61&gt;=0,"OK","NG")</x:f>
      </x:c>
      <x:c r="AM61" s="16" t="e">
        <x:f>IF(F61/MAX(R61,0.000001)&lt;=1,"Shallow","Deep")</x:f>
      </x:c>
    </x:row>
    <x:row r="62">
      <x:c r="A62" s="16" t="n">
        <x:f>Shallow_Input!A62</x:f>
        <x:v>0</x:v>
      </x:c>
      <x:c r="B62" s="16" t="n">
        <x:f>Shallow_Input!B62</x:f>
        <x:v>0</x:v>
      </x:c>
      <x:c r="C62" s="16" t="n">
        <x:f>Shallow_Input!C62</x:f>
        <x:v>0</x:v>
      </x:c>
      <x:c r="D62" s="16" t="n">
        <x:f>Shallow_Input!D62</x:f>
        <x:v>0</x:v>
      </x:c>
      <x:c r="E62" s="16" t="e">
        <x:f>IF(B62="S",1,Shallow_Input!E62)</x:f>
      </x:c>
      <x:c r="F62" s="16" t="n">
        <x:f>Shallow_Input!F62</x:f>
        <x:v>0</x:v>
      </x:c>
      <x:c r="G62" s="16" t="e">
        <x:f>LET(B0,D62,L0,E62,D0,F62,t,Shallow_Input!G62,Cx,Shallow_Input!H62,Cy,Shallow_Input!I62,Ox,Shallow_Input!J62,Oy,IF(B62="S",0,Shallow_Input!K62),dw,Shallow_Input!L62,Qc,Shallow_Input!M62,g1u,Shallow_Input!R62,g1sat,Shallow_Input!S62,gc,Shallow_Input!Z62,g1ave,IF(dw&gt;=D0,g1u,IF(dw&lt;=0,g1sat,(g1u*dw+g1sat*(D0-dw))/D0)),g1ave*MAX(B0*L0-Cx*Cy,0)*MAX(D0-t,0)+gc*Cx*Cy*MAX(D0-t,0)+t*B0*L0*gc+Qc)</x:f>
      </x:c>
      <x:c r="H62" s="16" t="e">
        <x:f>LET(shape,B62,B0,D62,L0,E62,D0,F62,dw,Shallow_Input!L62,g1u,Shallow_Input!R62,g1sat,Shallow_Input!S62,gw,Shallow_Input!AA62,g2u,Shallow_Input!V62,g2sat,Shallow_Input!W62,analysis,C62,c2,Shallow_Input!X62,phi1,Shallow_Input!U62,phi2,Shallow_Input!Y62,Bef,R62,Nq,V62,Nc,W62,Ny,X62,Fcs,Y62,Fqs,Z62,Fys,AA62,Fcd,AB62,Fqd,AC62,Fyd,AD62,Fci,AE62,Fqi,AF62,Fyi,AG62,g1ave,IF(dw&gt;=D0,g1u,IF(dw&lt;=0,g1sat,(g1u*dw+g1sat*(D0-dw))/D0)),g1eff,IF(dw&gt;=D0,g1u,IF(dw&lt;=0,g1sat-gw,(g1u*dw+(g1sat-gw)*(D0-dw))/D0)),g2width,IF(shape="S",B0,Bef),g2ave,IF(dw&gt;=D0+g2width,g2u,IF(dw&lt;=D0,g2sat,(g2u*(dw-D0)+g2sat*(g2width-(dw-D0)))/g2width)),g2eff,IF(dw&gt;=D0+g2width,g2u,IF(dw&lt;=D0,g2sat-gw,(g2u*(dw-D0)+(g2sat-gw)*(g2width-(dw-D0)))/g2width)),g1used,IF(analysis="T",g1ave,g1eff),g2used,IF(analysis="T",g2ave,g2eff),q,g1used*D0,c2*Nc*Fcs*Fcd*Fci+q*Nq*Fqs*Fqd*Fqi+0.5*Bef*g2used*Ny*Fys*Fyd*Fyi)</x:f>
      </x:c>
      <x:c r="I62" s="16" t="e">
        <x:f>H62/Shallow_Input!AB62</x:f>
      </x:c>
      <x:c r="J62" s="16" t="e">
        <x:f>H62*T62</x:f>
      </x:c>
      <x:c r="K62" s="16" t="e">
        <x:f>I62*T62</x:f>
      </x:c>
      <x:c r="L62" s="16" t="e">
        <x:f>G62/(D62*E62)*(1+6*N62/D62+6*O62/E62)</x:f>
      </x:c>
      <x:c r="M62" s="16" t="e">
        <x:f>G62/(D62*E62)*(1-6*N62/D62-6*O62/E62)</x:f>
      </x:c>
      <x:c r="N62" s="16" t="e">
        <x:f>ABS((Shallow_Input!Z62*Shallow_Input!H62*Shallow_Input!I62*MAX(Shallow_Input!F62-Shallow_Input!G62,0)+Shallow_Input!M62)*Shallow_Input!J62+Shallow_Input!P62*Shallow_Input!F62+Shallow_Input!O62)/G62</x:f>
      </x:c>
      <x:c r="O62" s="16" t="e">
        <x:f>ABS(((Shallow_Input!Z62*Shallow_Input!H62*Shallow_Input!I62*MAX(Shallow_Input!F62-Shallow_Input!G62,0)+Shallow_Input!M62)*IF(B62="S",0,Shallow_Input!K62)+Shallow_Input!Q62*Shallow_Input!F62+IF(B62="S",0,Shallow_Input!N62))/G62)</x:f>
      </x:c>
      <x:c r="P62" s="16" t="e">
        <x:f>D62-2*N62</x:f>
      </x:c>
      <x:c r="Q62" s="16" t="e">
        <x:f>E62-2*O62</x:f>
      </x:c>
      <x:c r="R62" s="16" t="e">
        <x:f>MAX(P62,0.000001)</x:f>
      </x:c>
      <x:c r="S62" s="16" t="e">
        <x:f>IF(B62="S",1,MAX(Q62,0.000001))</x:f>
      </x:c>
      <x:c r="T62" s="16" t="e">
        <x:f>R62*S62</x:f>
      </x:c>
      <x:c r="U62" s="16" t="e">
        <x:f>DEGREES(ATAN(SQRT(Shallow_Input!P62^2+Shallow_Input!Q62^2)/G62))</x:f>
      </x:c>
      <x:c r="V62" s="16" t="n">
        <x:f>EXP(PI()*TAN(RADIANS(Shallow_Input!Y62)))*TAN(PI()/4+RADIANS(Shallow_Input!Y62)/2)^2</x:f>
        <x:v>0.9999999999999998</x:v>
      </x:c>
      <x:c r="W62" s="16" t="n">
        <x:f>IF(ABS(TAN(RADIANS(Shallow_Input!Y62)))&gt;0.0000001,(V62-1)/TAN(RADIANS(Shallow_Input!Y62)),5.14)</x:f>
        <x:v>5.14</x:v>
      </x:c>
      <x:c r="X62" s="16" t="n">
        <x:f>2*(V62+1)*TAN(RADIANS(Shallow_Input!Y62))</x:f>
        <x:v>0</x:v>
      </x:c>
      <x:c r="Y62" s="16" t="e">
        <x:f>IF(B62="S",1,1+R62/S62*V62/MAX(W62,0.000001))</x:f>
      </x:c>
      <x:c r="Z62" s="16" t="e">
        <x:f>IF(B62="S",1,1+R62/S62*TAN(RADIANS(Shallow_Input!Y62)))</x:f>
      </x:c>
      <x:c r="AA62" s="16" t="e">
        <x:f>IF(B62="S",1,1-0.4*R62/S62)</x:f>
      </x:c>
      <x:c r="AB62" s="16" t="e">
        <x:f>1+0.4*IF(F62/MAX(R62,0.000001)&lt;=1,F62/MAX(R62,0.000001),ATAN(F62/MAX(R62,0.000001)))</x:f>
      </x:c>
      <x:c r="AC62" s="16" t="e">
        <x:f>1+2*TAN(RADIANS(Shallow_Input!U62))*(1-SIN(RADIANS(Shallow_Input!U62)))^2*IF(F62/MAX(R62,0.000001)&lt;=1,F62/MAX(R62,0.000001),ATAN(F62/MAX(R62,0.000001)))</x:f>
      </x:c>
      <x:c r="AD62" s="16" t="n">
        <x:f>1</x:f>
        <x:v>1</x:v>
      </x:c>
      <x:c r="AE62" s="16" t="e">
        <x:f>(1-U62/90)^2</x:f>
      </x:c>
      <x:c r="AF62" s="16" t="e">
        <x:f>(1-U62/90)^2</x:f>
      </x:c>
      <x:c r="AG62" s="16" t="n">
        <x:f>IF(Shallow_Input!Y62&gt;0,(1-U62/Shallow_Input!Y62)^2,1)</x:f>
        <x:v>1</x:v>
      </x:c>
      <x:c r="AH62" s="16" t="e">
        <x:f>J62/MAX(G62,0.000001)</x:f>
      </x:c>
      <x:c r="AI62" s="16" t="e">
        <x:f>H62/MAX(L62,0.000001)</x:f>
      </x:c>
      <x:c r="AJ62" s="16" t="e">
        <x:f>IF(K62&gt;=G62,"OK","NG")</x:f>
      </x:c>
      <x:c r="AK62" s="16" t="e">
        <x:f>IF(I62&gt;=L62,"OK","NG")</x:f>
      </x:c>
      <x:c r="AL62" s="16" t="e">
        <x:f>IF(M62&gt;=0,"OK","NG")</x:f>
      </x:c>
      <x:c r="AM62" s="16" t="e">
        <x:f>IF(F62/MAX(R62,0.000001)&lt;=1,"Shallow","Deep")</x:f>
      </x:c>
    </x:row>
    <x:row r="63">
      <x:c r="A63" s="16" t="n">
        <x:f>Shallow_Input!A63</x:f>
        <x:v>0</x:v>
      </x:c>
      <x:c r="B63" s="16" t="n">
        <x:f>Shallow_Input!B63</x:f>
        <x:v>0</x:v>
      </x:c>
      <x:c r="C63" s="16" t="n">
        <x:f>Shallow_Input!C63</x:f>
        <x:v>0</x:v>
      </x:c>
      <x:c r="D63" s="16" t="n">
        <x:f>Shallow_Input!D63</x:f>
        <x:v>0</x:v>
      </x:c>
      <x:c r="E63" s="16" t="e">
        <x:f>IF(B63="S",1,Shallow_Input!E63)</x:f>
      </x:c>
      <x:c r="F63" s="16" t="n">
        <x:f>Shallow_Input!F63</x:f>
        <x:v>0</x:v>
      </x:c>
      <x:c r="G63" s="16" t="e">
        <x:f>LET(B0,D63,L0,E63,D0,F63,t,Shallow_Input!G63,Cx,Shallow_Input!H63,Cy,Shallow_Input!I63,Ox,Shallow_Input!J63,Oy,IF(B63="S",0,Shallow_Input!K63),dw,Shallow_Input!L63,Qc,Shallow_Input!M63,g1u,Shallow_Input!R63,g1sat,Shallow_Input!S63,gc,Shallow_Input!Z63,g1ave,IF(dw&gt;=D0,g1u,IF(dw&lt;=0,g1sat,(g1u*dw+g1sat*(D0-dw))/D0)),g1ave*MAX(B0*L0-Cx*Cy,0)*MAX(D0-t,0)+gc*Cx*Cy*MAX(D0-t,0)+t*B0*L0*gc+Qc)</x:f>
      </x:c>
      <x:c r="H63" s="16" t="e">
        <x:f>LET(shape,B63,B0,D63,L0,E63,D0,F63,dw,Shallow_Input!L63,g1u,Shallow_Input!R63,g1sat,Shallow_Input!S63,gw,Shallow_Input!AA63,g2u,Shallow_Input!V63,g2sat,Shallow_Input!W63,analysis,C63,c2,Shallow_Input!X63,phi1,Shallow_Input!U63,phi2,Shallow_Input!Y63,Bef,R63,Nq,V63,Nc,W63,Ny,X63,Fcs,Y63,Fqs,Z63,Fys,AA63,Fcd,AB63,Fqd,AC63,Fyd,AD63,Fci,AE63,Fqi,AF63,Fyi,AG63,g1ave,IF(dw&gt;=D0,g1u,IF(dw&lt;=0,g1sat,(g1u*dw+g1sat*(D0-dw))/D0)),g1eff,IF(dw&gt;=D0,g1u,IF(dw&lt;=0,g1sat-gw,(g1u*dw+(g1sat-gw)*(D0-dw))/D0)),g2width,IF(shape="S",B0,Bef),g2ave,IF(dw&gt;=D0+g2width,g2u,IF(dw&lt;=D0,g2sat,(g2u*(dw-D0)+g2sat*(g2width-(dw-D0)))/g2width)),g2eff,IF(dw&gt;=D0+g2width,g2u,IF(dw&lt;=D0,g2sat-gw,(g2u*(dw-D0)+(g2sat-gw)*(g2width-(dw-D0)))/g2width)),g1used,IF(analysis="T",g1ave,g1eff),g2used,IF(analysis="T",g2ave,g2eff),q,g1used*D0,c2*Nc*Fcs*Fcd*Fci+q*Nq*Fqs*Fqd*Fqi+0.5*Bef*g2used*Ny*Fys*Fyd*Fyi)</x:f>
      </x:c>
      <x:c r="I63" s="16" t="e">
        <x:f>H63/Shallow_Input!AB63</x:f>
      </x:c>
      <x:c r="J63" s="16" t="e">
        <x:f>H63*T63</x:f>
      </x:c>
      <x:c r="K63" s="16" t="e">
        <x:f>I63*T63</x:f>
      </x:c>
      <x:c r="L63" s="16" t="e">
        <x:f>G63/(D63*E63)*(1+6*N63/D63+6*O63/E63)</x:f>
      </x:c>
      <x:c r="M63" s="16" t="e">
        <x:f>G63/(D63*E63)*(1-6*N63/D63-6*O63/E63)</x:f>
      </x:c>
      <x:c r="N63" s="16" t="e">
        <x:f>ABS((Shallow_Input!Z63*Shallow_Input!H63*Shallow_Input!I63*MAX(Shallow_Input!F63-Shallow_Input!G63,0)+Shallow_Input!M63)*Shallow_Input!J63+Shallow_Input!P63*Shallow_Input!F63+Shallow_Input!O63)/G63</x:f>
      </x:c>
      <x:c r="O63" s="16" t="e">
        <x:f>ABS(((Shallow_Input!Z63*Shallow_Input!H63*Shallow_Input!I63*MAX(Shallow_Input!F63-Shallow_Input!G63,0)+Shallow_Input!M63)*IF(B63="S",0,Shallow_Input!K63)+Shallow_Input!Q63*Shallow_Input!F63+IF(B63="S",0,Shallow_Input!N63))/G63)</x:f>
      </x:c>
      <x:c r="P63" s="16" t="e">
        <x:f>D63-2*N63</x:f>
      </x:c>
      <x:c r="Q63" s="16" t="e">
        <x:f>E63-2*O63</x:f>
      </x:c>
      <x:c r="R63" s="16" t="e">
        <x:f>MAX(P63,0.000001)</x:f>
      </x:c>
      <x:c r="S63" s="16" t="e">
        <x:f>IF(B63="S",1,MAX(Q63,0.000001))</x:f>
      </x:c>
      <x:c r="T63" s="16" t="e">
        <x:f>R63*S63</x:f>
      </x:c>
      <x:c r="U63" s="16" t="e">
        <x:f>DEGREES(ATAN(SQRT(Shallow_Input!P63^2+Shallow_Input!Q63^2)/G63))</x:f>
      </x:c>
      <x:c r="V63" s="16" t="n">
        <x:f>EXP(PI()*TAN(RADIANS(Shallow_Input!Y63)))*TAN(PI()/4+RADIANS(Shallow_Input!Y63)/2)^2</x:f>
        <x:v>0.9999999999999998</x:v>
      </x:c>
      <x:c r="W63" s="16" t="n">
        <x:f>IF(ABS(TAN(RADIANS(Shallow_Input!Y63)))&gt;0.0000001,(V63-1)/TAN(RADIANS(Shallow_Input!Y63)),5.14)</x:f>
        <x:v>5.14</x:v>
      </x:c>
      <x:c r="X63" s="16" t="n">
        <x:f>2*(V63+1)*TAN(RADIANS(Shallow_Input!Y63))</x:f>
        <x:v>0</x:v>
      </x:c>
      <x:c r="Y63" s="16" t="e">
        <x:f>IF(B63="S",1,1+R63/S63*V63/MAX(W63,0.000001))</x:f>
      </x:c>
      <x:c r="Z63" s="16" t="e">
        <x:f>IF(B63="S",1,1+R63/S63*TAN(RADIANS(Shallow_Input!Y63)))</x:f>
      </x:c>
      <x:c r="AA63" s="16" t="e">
        <x:f>IF(B63="S",1,1-0.4*R63/S63)</x:f>
      </x:c>
      <x:c r="AB63" s="16" t="e">
        <x:f>1+0.4*IF(F63/MAX(R63,0.000001)&lt;=1,F63/MAX(R63,0.000001),ATAN(F63/MAX(R63,0.000001)))</x:f>
      </x:c>
      <x:c r="AC63" s="16" t="e">
        <x:f>1+2*TAN(RADIANS(Shallow_Input!U63))*(1-SIN(RADIANS(Shallow_Input!U63)))^2*IF(F63/MAX(R63,0.000001)&lt;=1,F63/MAX(R63,0.000001),ATAN(F63/MAX(R63,0.000001)))</x:f>
      </x:c>
      <x:c r="AD63" s="16" t="n">
        <x:f>1</x:f>
        <x:v>1</x:v>
      </x:c>
      <x:c r="AE63" s="16" t="e">
        <x:f>(1-U63/90)^2</x:f>
      </x:c>
      <x:c r="AF63" s="16" t="e">
        <x:f>(1-U63/90)^2</x:f>
      </x:c>
      <x:c r="AG63" s="16" t="n">
        <x:f>IF(Shallow_Input!Y63&gt;0,(1-U63/Shallow_Input!Y63)^2,1)</x:f>
        <x:v>1</x:v>
      </x:c>
      <x:c r="AH63" s="16" t="e">
        <x:f>J63/MAX(G63,0.000001)</x:f>
      </x:c>
      <x:c r="AI63" s="16" t="e">
        <x:f>H63/MAX(L63,0.000001)</x:f>
      </x:c>
      <x:c r="AJ63" s="16" t="e">
        <x:f>IF(K63&gt;=G63,"OK","NG")</x:f>
      </x:c>
      <x:c r="AK63" s="16" t="e">
        <x:f>IF(I63&gt;=L63,"OK","NG")</x:f>
      </x:c>
      <x:c r="AL63" s="16" t="e">
        <x:f>IF(M63&gt;=0,"OK","NG")</x:f>
      </x:c>
      <x:c r="AM63" s="16" t="e">
        <x:f>IF(F63/MAX(R63,0.000001)&lt;=1,"Shallow","Deep")</x:f>
      </x:c>
    </x:row>
    <x:row r="64">
      <x:c r="A64" s="16" t="n">
        <x:f>Shallow_Input!A64</x:f>
        <x:v>0</x:v>
      </x:c>
      <x:c r="B64" s="16" t="n">
        <x:f>Shallow_Input!B64</x:f>
        <x:v>0</x:v>
      </x:c>
      <x:c r="C64" s="16" t="n">
        <x:f>Shallow_Input!C64</x:f>
        <x:v>0</x:v>
      </x:c>
      <x:c r="D64" s="16" t="n">
        <x:f>Shallow_Input!D64</x:f>
        <x:v>0</x:v>
      </x:c>
      <x:c r="E64" s="16" t="e">
        <x:f>IF(B64="S",1,Shallow_Input!E64)</x:f>
      </x:c>
      <x:c r="F64" s="16" t="n">
        <x:f>Shallow_Input!F64</x:f>
        <x:v>0</x:v>
      </x:c>
      <x:c r="G64" s="16" t="e">
        <x:f>LET(B0,D64,L0,E64,D0,F64,t,Shallow_Input!G64,Cx,Shallow_Input!H64,Cy,Shallow_Input!I64,Ox,Shallow_Input!J64,Oy,IF(B64="S",0,Shallow_Input!K64),dw,Shallow_Input!L64,Qc,Shallow_Input!M64,g1u,Shallow_Input!R64,g1sat,Shallow_Input!S64,gc,Shallow_Input!Z64,g1ave,IF(dw&gt;=D0,g1u,IF(dw&lt;=0,g1sat,(g1u*dw+g1sat*(D0-dw))/D0)),g1ave*MAX(B0*L0-Cx*Cy,0)*MAX(D0-t,0)+gc*Cx*Cy*MAX(D0-t,0)+t*B0*L0*gc+Qc)</x:f>
      </x:c>
      <x:c r="H64" s="16" t="e">
        <x:f>LET(shape,B64,B0,D64,L0,E64,D0,F64,dw,Shallow_Input!L64,g1u,Shallow_Input!R64,g1sat,Shallow_Input!S64,gw,Shallow_Input!AA64,g2u,Shallow_Input!V64,g2sat,Shallow_Input!W64,analysis,C64,c2,Shallow_Input!X64,phi1,Shallow_Input!U64,phi2,Shallow_Input!Y64,Bef,R64,Nq,V64,Nc,W64,Ny,X64,Fcs,Y64,Fqs,Z64,Fys,AA64,Fcd,AB64,Fqd,AC64,Fyd,AD64,Fci,AE64,Fqi,AF64,Fyi,AG64,g1ave,IF(dw&gt;=D0,g1u,IF(dw&lt;=0,g1sat,(g1u*dw+g1sat*(D0-dw))/D0)),g1eff,IF(dw&gt;=D0,g1u,IF(dw&lt;=0,g1sat-gw,(g1u*dw+(g1sat-gw)*(D0-dw))/D0)),g2width,IF(shape="S",B0,Bef),g2ave,IF(dw&gt;=D0+g2width,g2u,IF(dw&lt;=D0,g2sat,(g2u*(dw-D0)+g2sat*(g2width-(dw-D0)))/g2width)),g2eff,IF(dw&gt;=D0+g2width,g2u,IF(dw&lt;=D0,g2sat-gw,(g2u*(dw-D0)+(g2sat-gw)*(g2width-(dw-D0)))/g2width)),g1used,IF(analysis="T",g1ave,g1eff),g2used,IF(analysis="T",g2ave,g2eff),q,g1used*D0,c2*Nc*Fcs*Fcd*Fci+q*Nq*Fqs*Fqd*Fqi+0.5*Bef*g2used*Ny*Fys*Fyd*Fyi)</x:f>
      </x:c>
      <x:c r="I64" s="16" t="e">
        <x:f>H64/Shallow_Input!AB64</x:f>
      </x:c>
      <x:c r="J64" s="16" t="e">
        <x:f>H64*T64</x:f>
      </x:c>
      <x:c r="K64" s="16" t="e">
        <x:f>I64*T64</x:f>
      </x:c>
      <x:c r="L64" s="16" t="e">
        <x:f>G64/(D64*E64)*(1+6*N64/D64+6*O64/E64)</x:f>
      </x:c>
      <x:c r="M64" s="16" t="e">
        <x:f>G64/(D64*E64)*(1-6*N64/D64-6*O64/E64)</x:f>
      </x:c>
      <x:c r="N64" s="16" t="e">
        <x:f>ABS((Shallow_Input!Z64*Shallow_Input!H64*Shallow_Input!I64*MAX(Shallow_Input!F64-Shallow_Input!G64,0)+Shallow_Input!M64)*Shallow_Input!J64+Shallow_Input!P64*Shallow_Input!F64+Shallow_Input!O64)/G64</x:f>
      </x:c>
      <x:c r="O64" s="16" t="e">
        <x:f>ABS(((Shallow_Input!Z64*Shallow_Input!H64*Shallow_Input!I64*MAX(Shallow_Input!F64-Shallow_Input!G64,0)+Shallow_Input!M64)*IF(B64="S",0,Shallow_Input!K64)+Shallow_Input!Q64*Shallow_Input!F64+IF(B64="S",0,Shallow_Input!N64))/G64)</x:f>
      </x:c>
      <x:c r="P64" s="16" t="e">
        <x:f>D64-2*N64</x:f>
      </x:c>
      <x:c r="Q64" s="16" t="e">
        <x:f>E64-2*O64</x:f>
      </x:c>
      <x:c r="R64" s="16" t="e">
        <x:f>MAX(P64,0.000001)</x:f>
      </x:c>
      <x:c r="S64" s="16" t="e">
        <x:f>IF(B64="S",1,MAX(Q64,0.000001))</x:f>
      </x:c>
      <x:c r="T64" s="16" t="e">
        <x:f>R64*S64</x:f>
      </x:c>
      <x:c r="U64" s="16" t="e">
        <x:f>DEGREES(ATAN(SQRT(Shallow_Input!P64^2+Shallow_Input!Q64^2)/G64))</x:f>
      </x:c>
      <x:c r="V64" s="16" t="n">
        <x:f>EXP(PI()*TAN(RADIANS(Shallow_Input!Y64)))*TAN(PI()/4+RADIANS(Shallow_Input!Y64)/2)^2</x:f>
        <x:v>0.9999999999999998</x:v>
      </x:c>
      <x:c r="W64" s="16" t="n">
        <x:f>IF(ABS(TAN(RADIANS(Shallow_Input!Y64)))&gt;0.0000001,(V64-1)/TAN(RADIANS(Shallow_Input!Y64)),5.14)</x:f>
        <x:v>5.14</x:v>
      </x:c>
      <x:c r="X64" s="16" t="n">
        <x:f>2*(V64+1)*TAN(RADIANS(Shallow_Input!Y64))</x:f>
        <x:v>0</x:v>
      </x:c>
      <x:c r="Y64" s="16" t="e">
        <x:f>IF(B64="S",1,1+R64/S64*V64/MAX(W64,0.000001))</x:f>
      </x:c>
      <x:c r="Z64" s="16" t="e">
        <x:f>IF(B64="S",1,1+R64/S64*TAN(RADIANS(Shallow_Input!Y64)))</x:f>
      </x:c>
      <x:c r="AA64" s="16" t="e">
        <x:f>IF(B64="S",1,1-0.4*R64/S64)</x:f>
      </x:c>
      <x:c r="AB64" s="16" t="e">
        <x:f>1+0.4*IF(F64/MAX(R64,0.000001)&lt;=1,F64/MAX(R64,0.000001),ATAN(F64/MAX(R64,0.000001)))</x:f>
      </x:c>
      <x:c r="AC64" s="16" t="e">
        <x:f>1+2*TAN(RADIANS(Shallow_Input!U64))*(1-SIN(RADIANS(Shallow_Input!U64)))^2*IF(F64/MAX(R64,0.000001)&lt;=1,F64/MAX(R64,0.000001),ATAN(F64/MAX(R64,0.000001)))</x:f>
      </x:c>
      <x:c r="AD64" s="16" t="n">
        <x:f>1</x:f>
        <x:v>1</x:v>
      </x:c>
      <x:c r="AE64" s="16" t="e">
        <x:f>(1-U64/90)^2</x:f>
      </x:c>
      <x:c r="AF64" s="16" t="e">
        <x:f>(1-U64/90)^2</x:f>
      </x:c>
      <x:c r="AG64" s="16" t="n">
        <x:f>IF(Shallow_Input!Y64&gt;0,(1-U64/Shallow_Input!Y64)^2,1)</x:f>
        <x:v>1</x:v>
      </x:c>
      <x:c r="AH64" s="16" t="e">
        <x:f>J64/MAX(G64,0.000001)</x:f>
      </x:c>
      <x:c r="AI64" s="16" t="e">
        <x:f>H64/MAX(L64,0.000001)</x:f>
      </x:c>
      <x:c r="AJ64" s="16" t="e">
        <x:f>IF(K64&gt;=G64,"OK","NG")</x:f>
      </x:c>
      <x:c r="AK64" s="16" t="e">
        <x:f>IF(I64&gt;=L64,"OK","NG")</x:f>
      </x:c>
      <x:c r="AL64" s="16" t="e">
        <x:f>IF(M64&gt;=0,"OK","NG")</x:f>
      </x:c>
      <x:c r="AM64" s="16" t="e">
        <x:f>IF(F64/MAX(R64,0.000001)&lt;=1,"Shallow","Deep")</x:f>
      </x:c>
    </x:row>
    <x:row r="65">
      <x:c r="A65" s="16" t="n">
        <x:f>Shallow_Input!A65</x:f>
        <x:v>0</x:v>
      </x:c>
      <x:c r="B65" s="16" t="n">
        <x:f>Shallow_Input!B65</x:f>
        <x:v>0</x:v>
      </x:c>
      <x:c r="C65" s="16" t="n">
        <x:f>Shallow_Input!C65</x:f>
        <x:v>0</x:v>
      </x:c>
      <x:c r="D65" s="16" t="n">
        <x:f>Shallow_Input!D65</x:f>
        <x:v>0</x:v>
      </x:c>
      <x:c r="E65" s="16" t="e">
        <x:f>IF(B65="S",1,Shallow_Input!E65)</x:f>
      </x:c>
      <x:c r="F65" s="16" t="n">
        <x:f>Shallow_Input!F65</x:f>
        <x:v>0</x:v>
      </x:c>
      <x:c r="G65" s="16" t="e">
        <x:f>LET(B0,D65,L0,E65,D0,F65,t,Shallow_Input!G65,Cx,Shallow_Input!H65,Cy,Shallow_Input!I65,Ox,Shallow_Input!J65,Oy,IF(B65="S",0,Shallow_Input!K65),dw,Shallow_Input!L65,Qc,Shallow_Input!M65,g1u,Shallow_Input!R65,g1sat,Shallow_Input!S65,gc,Shallow_Input!Z65,g1ave,IF(dw&gt;=D0,g1u,IF(dw&lt;=0,g1sat,(g1u*dw+g1sat*(D0-dw))/D0)),g1ave*MAX(B0*L0-Cx*Cy,0)*MAX(D0-t,0)+gc*Cx*Cy*MAX(D0-t,0)+t*B0*L0*gc+Qc)</x:f>
      </x:c>
      <x:c r="H65" s="16" t="e">
        <x:f>LET(shape,B65,B0,D65,L0,E65,D0,F65,dw,Shallow_Input!L65,g1u,Shallow_Input!R65,g1sat,Shallow_Input!S65,gw,Shallow_Input!AA65,g2u,Shallow_Input!V65,g2sat,Shallow_Input!W65,analysis,C65,c2,Shallow_Input!X65,phi1,Shallow_Input!U65,phi2,Shallow_Input!Y65,Bef,R65,Nq,V65,Nc,W65,Ny,X65,Fcs,Y65,Fqs,Z65,Fys,AA65,Fcd,AB65,Fqd,AC65,Fyd,AD65,Fci,AE65,Fqi,AF65,Fyi,AG65,g1ave,IF(dw&gt;=D0,g1u,IF(dw&lt;=0,g1sat,(g1u*dw+g1sat*(D0-dw))/D0)),g1eff,IF(dw&gt;=D0,g1u,IF(dw&lt;=0,g1sat-gw,(g1u*dw+(g1sat-gw)*(D0-dw))/D0)),g2width,IF(shape="S",B0,Bef),g2ave,IF(dw&gt;=D0+g2width,g2u,IF(dw&lt;=D0,g2sat,(g2u*(dw-D0)+g2sat*(g2width-(dw-D0)))/g2width)),g2eff,IF(dw&gt;=D0+g2width,g2u,IF(dw&lt;=D0,g2sat-gw,(g2u*(dw-D0)+(g2sat-gw)*(g2width-(dw-D0)))/g2width)),g1used,IF(analysis="T",g1ave,g1eff),g2used,IF(analysis="T",g2ave,g2eff),q,g1used*D0,c2*Nc*Fcs*Fcd*Fci+q*Nq*Fqs*Fqd*Fqi+0.5*Bef*g2used*Ny*Fys*Fyd*Fyi)</x:f>
      </x:c>
      <x:c r="I65" s="16" t="e">
        <x:f>H65/Shallow_Input!AB65</x:f>
      </x:c>
      <x:c r="J65" s="16" t="e">
        <x:f>H65*T65</x:f>
      </x:c>
      <x:c r="K65" s="16" t="e">
        <x:f>I65*T65</x:f>
      </x:c>
      <x:c r="L65" s="16" t="e">
        <x:f>G65/(D65*E65)*(1+6*N65/D65+6*O65/E65)</x:f>
      </x:c>
      <x:c r="M65" s="16" t="e">
        <x:f>G65/(D65*E65)*(1-6*N65/D65-6*O65/E65)</x:f>
      </x:c>
      <x:c r="N65" s="16" t="e">
        <x:f>ABS((Shallow_Input!Z65*Shallow_Input!H65*Shallow_Input!I65*MAX(Shallow_Input!F65-Shallow_Input!G65,0)+Shallow_Input!M65)*Shallow_Input!J65+Shallow_Input!P65*Shallow_Input!F65+Shallow_Input!O65)/G65</x:f>
      </x:c>
      <x:c r="O65" s="16" t="e">
        <x:f>ABS(((Shallow_Input!Z65*Shallow_Input!H65*Shallow_Input!I65*MAX(Shallow_Input!F65-Shallow_Input!G65,0)+Shallow_Input!M65)*IF(B65="S",0,Shallow_Input!K65)+Shallow_Input!Q65*Shallow_Input!F65+IF(B65="S",0,Shallow_Input!N65))/G65)</x:f>
      </x:c>
      <x:c r="P65" s="16" t="e">
        <x:f>D65-2*N65</x:f>
      </x:c>
      <x:c r="Q65" s="16" t="e">
        <x:f>E65-2*O65</x:f>
      </x:c>
      <x:c r="R65" s="16" t="e">
        <x:f>MAX(P65,0.000001)</x:f>
      </x:c>
      <x:c r="S65" s="16" t="e">
        <x:f>IF(B65="S",1,MAX(Q65,0.000001))</x:f>
      </x:c>
      <x:c r="T65" s="16" t="e">
        <x:f>R65*S65</x:f>
      </x:c>
      <x:c r="U65" s="16" t="e">
        <x:f>DEGREES(ATAN(SQRT(Shallow_Input!P65^2+Shallow_Input!Q65^2)/G65))</x:f>
      </x:c>
      <x:c r="V65" s="16" t="n">
        <x:f>EXP(PI()*TAN(RADIANS(Shallow_Input!Y65)))*TAN(PI()/4+RADIANS(Shallow_Input!Y65)/2)^2</x:f>
        <x:v>0.9999999999999998</x:v>
      </x:c>
      <x:c r="W65" s="16" t="n">
        <x:f>IF(ABS(TAN(RADIANS(Shallow_Input!Y65)))&gt;0.0000001,(V65-1)/TAN(RADIANS(Shallow_Input!Y65)),5.14)</x:f>
        <x:v>5.14</x:v>
      </x:c>
      <x:c r="X65" s="16" t="n">
        <x:f>2*(V65+1)*TAN(RADIANS(Shallow_Input!Y65))</x:f>
        <x:v>0</x:v>
      </x:c>
      <x:c r="Y65" s="16" t="e">
        <x:f>IF(B65="S",1,1+R65/S65*V65/MAX(W65,0.000001))</x:f>
      </x:c>
      <x:c r="Z65" s="16" t="e">
        <x:f>IF(B65="S",1,1+R65/S65*TAN(RADIANS(Shallow_Input!Y65)))</x:f>
      </x:c>
      <x:c r="AA65" s="16" t="e">
        <x:f>IF(B65="S",1,1-0.4*R65/S65)</x:f>
      </x:c>
      <x:c r="AB65" s="16" t="e">
        <x:f>1+0.4*IF(F65/MAX(R65,0.000001)&lt;=1,F65/MAX(R65,0.000001),ATAN(F65/MAX(R65,0.000001)))</x:f>
      </x:c>
      <x:c r="AC65" s="16" t="e">
        <x:f>1+2*TAN(RADIANS(Shallow_Input!U65))*(1-SIN(RADIANS(Shallow_Input!U65)))^2*IF(F65/MAX(R65,0.000001)&lt;=1,F65/MAX(R65,0.000001),ATAN(F65/MAX(R65,0.000001)))</x:f>
      </x:c>
      <x:c r="AD65" s="16" t="n">
        <x:f>1</x:f>
        <x:v>1</x:v>
      </x:c>
      <x:c r="AE65" s="16" t="e">
        <x:f>(1-U65/90)^2</x:f>
      </x:c>
      <x:c r="AF65" s="16" t="e">
        <x:f>(1-U65/90)^2</x:f>
      </x:c>
      <x:c r="AG65" s="16" t="n">
        <x:f>IF(Shallow_Input!Y65&gt;0,(1-U65/Shallow_Input!Y65)^2,1)</x:f>
        <x:v>1</x:v>
      </x:c>
      <x:c r="AH65" s="16" t="e">
        <x:f>J65/MAX(G65,0.000001)</x:f>
      </x:c>
      <x:c r="AI65" s="16" t="e">
        <x:f>H65/MAX(L65,0.000001)</x:f>
      </x:c>
      <x:c r="AJ65" s="16" t="e">
        <x:f>IF(K65&gt;=G65,"OK","NG")</x:f>
      </x:c>
      <x:c r="AK65" s="16" t="e">
        <x:f>IF(I65&gt;=L65,"OK","NG")</x:f>
      </x:c>
      <x:c r="AL65" s="16" t="e">
        <x:f>IF(M65&gt;=0,"OK","NG")</x:f>
      </x:c>
      <x:c r="AM65" s="16" t="e">
        <x:f>IF(F65/MAX(R65,0.000001)&lt;=1,"Shallow","Deep")</x:f>
      </x:c>
    </x:row>
    <x:row r="66">
      <x:c r="A66" s="16" t="n">
        <x:f>Shallow_Input!A66</x:f>
        <x:v>0</x:v>
      </x:c>
      <x:c r="B66" s="16" t="n">
        <x:f>Shallow_Input!B66</x:f>
        <x:v>0</x:v>
      </x:c>
      <x:c r="C66" s="16" t="n">
        <x:f>Shallow_Input!C66</x:f>
        <x:v>0</x:v>
      </x:c>
      <x:c r="D66" s="16" t="n">
        <x:f>Shallow_Input!D66</x:f>
        <x:v>0</x:v>
      </x:c>
      <x:c r="E66" s="16" t="e">
        <x:f>IF(B66="S",1,Shallow_Input!E66)</x:f>
      </x:c>
      <x:c r="F66" s="16" t="n">
        <x:f>Shallow_Input!F66</x:f>
        <x:v>0</x:v>
      </x:c>
      <x:c r="G66" s="16" t="e">
        <x:f>LET(B0,D66,L0,E66,D0,F66,t,Shallow_Input!G66,Cx,Shallow_Input!H66,Cy,Shallow_Input!I66,Ox,Shallow_Input!J66,Oy,IF(B66="S",0,Shallow_Input!K66),dw,Shallow_Input!L66,Qc,Shallow_Input!M66,g1u,Shallow_Input!R66,g1sat,Shallow_Input!S66,gc,Shallow_Input!Z66,g1ave,IF(dw&gt;=D0,g1u,IF(dw&lt;=0,g1sat,(g1u*dw+g1sat*(D0-dw))/D0)),g1ave*MAX(B0*L0-Cx*Cy,0)*MAX(D0-t,0)+gc*Cx*Cy*MAX(D0-t,0)+t*B0*L0*gc+Qc)</x:f>
      </x:c>
      <x:c r="H66" s="16" t="e">
        <x:f>LET(shape,B66,B0,D66,L0,E66,D0,F66,dw,Shallow_Input!L66,g1u,Shallow_Input!R66,g1sat,Shallow_Input!S66,gw,Shallow_Input!AA66,g2u,Shallow_Input!V66,g2sat,Shallow_Input!W66,analysis,C66,c2,Shallow_Input!X66,phi1,Shallow_Input!U66,phi2,Shallow_Input!Y66,Bef,R66,Nq,V66,Nc,W66,Ny,X66,Fcs,Y66,Fqs,Z66,Fys,AA66,Fcd,AB66,Fqd,AC66,Fyd,AD66,Fci,AE66,Fqi,AF66,Fyi,AG66,g1ave,IF(dw&gt;=D0,g1u,IF(dw&lt;=0,g1sat,(g1u*dw+g1sat*(D0-dw))/D0)),g1eff,IF(dw&gt;=D0,g1u,IF(dw&lt;=0,g1sat-gw,(g1u*dw+(g1sat-gw)*(D0-dw))/D0)),g2width,IF(shape="S",B0,Bef),g2ave,IF(dw&gt;=D0+g2width,g2u,IF(dw&lt;=D0,g2sat,(g2u*(dw-D0)+g2sat*(g2width-(dw-D0)))/g2width)),g2eff,IF(dw&gt;=D0+g2width,g2u,IF(dw&lt;=D0,g2sat-gw,(g2u*(dw-D0)+(g2sat-gw)*(g2width-(dw-D0)))/g2width)),g1used,IF(analysis="T",g1ave,g1eff),g2used,IF(analysis="T",g2ave,g2eff),q,g1used*D0,c2*Nc*Fcs*Fcd*Fci+q*Nq*Fqs*Fqd*Fqi+0.5*Bef*g2used*Ny*Fys*Fyd*Fyi)</x:f>
      </x:c>
      <x:c r="I66" s="16" t="e">
        <x:f>H66/Shallow_Input!AB66</x:f>
      </x:c>
      <x:c r="J66" s="16" t="e">
        <x:f>H66*T66</x:f>
      </x:c>
      <x:c r="K66" s="16" t="e">
        <x:f>I66*T66</x:f>
      </x:c>
      <x:c r="L66" s="16" t="e">
        <x:f>G66/(D66*E66)*(1+6*N66/D66+6*O66/E66)</x:f>
      </x:c>
      <x:c r="M66" s="16" t="e">
        <x:f>G66/(D66*E66)*(1-6*N66/D66-6*O66/E66)</x:f>
      </x:c>
      <x:c r="N66" s="16" t="e">
        <x:f>ABS((Shallow_Input!Z66*Shallow_Input!H66*Shallow_Input!I66*MAX(Shallow_Input!F66-Shallow_Input!G66,0)+Shallow_Input!M66)*Shallow_Input!J66+Shallow_Input!P66*Shallow_Input!F66+Shallow_Input!O66)/G66</x:f>
      </x:c>
      <x:c r="O66" s="16" t="e">
        <x:f>ABS(((Shallow_Input!Z66*Shallow_Input!H66*Shallow_Input!I66*MAX(Shallow_Input!F66-Shallow_Input!G66,0)+Shallow_Input!M66)*IF(B66="S",0,Shallow_Input!K66)+Shallow_Input!Q66*Shallow_Input!F66+IF(B66="S",0,Shallow_Input!N66))/G66)</x:f>
      </x:c>
      <x:c r="P66" s="16" t="e">
        <x:f>D66-2*N66</x:f>
      </x:c>
      <x:c r="Q66" s="16" t="e">
        <x:f>E66-2*O66</x:f>
      </x:c>
      <x:c r="R66" s="16" t="e">
        <x:f>MAX(P66,0.000001)</x:f>
      </x:c>
      <x:c r="S66" s="16" t="e">
        <x:f>IF(B66="S",1,MAX(Q66,0.000001))</x:f>
      </x:c>
      <x:c r="T66" s="16" t="e">
        <x:f>R66*S66</x:f>
      </x:c>
      <x:c r="U66" s="16" t="e">
        <x:f>DEGREES(ATAN(SQRT(Shallow_Input!P66^2+Shallow_Input!Q66^2)/G66))</x:f>
      </x:c>
      <x:c r="V66" s="16" t="n">
        <x:f>EXP(PI()*TAN(RADIANS(Shallow_Input!Y66)))*TAN(PI()/4+RADIANS(Shallow_Input!Y66)/2)^2</x:f>
        <x:v>0.9999999999999998</x:v>
      </x:c>
      <x:c r="W66" s="16" t="n">
        <x:f>IF(ABS(TAN(RADIANS(Shallow_Input!Y66)))&gt;0.0000001,(V66-1)/TAN(RADIANS(Shallow_Input!Y66)),5.14)</x:f>
        <x:v>5.14</x:v>
      </x:c>
      <x:c r="X66" s="16" t="n">
        <x:f>2*(V66+1)*TAN(RADIANS(Shallow_Input!Y66))</x:f>
        <x:v>0</x:v>
      </x:c>
      <x:c r="Y66" s="16" t="e">
        <x:f>IF(B66="S",1,1+R66/S66*V66/MAX(W66,0.000001))</x:f>
      </x:c>
      <x:c r="Z66" s="16" t="e">
        <x:f>IF(B66="S",1,1+R66/S66*TAN(RADIANS(Shallow_Input!Y66)))</x:f>
      </x:c>
      <x:c r="AA66" s="16" t="e">
        <x:f>IF(B66="S",1,1-0.4*R66/S66)</x:f>
      </x:c>
      <x:c r="AB66" s="16" t="e">
        <x:f>1+0.4*IF(F66/MAX(R66,0.000001)&lt;=1,F66/MAX(R66,0.000001),ATAN(F66/MAX(R66,0.000001)))</x:f>
      </x:c>
      <x:c r="AC66" s="16" t="e">
        <x:f>1+2*TAN(RADIANS(Shallow_Input!U66))*(1-SIN(RADIANS(Shallow_Input!U66)))^2*IF(F66/MAX(R66,0.000001)&lt;=1,F66/MAX(R66,0.000001),ATAN(F66/MAX(R66,0.000001)))</x:f>
      </x:c>
      <x:c r="AD66" s="16" t="n">
        <x:f>1</x:f>
        <x:v>1</x:v>
      </x:c>
      <x:c r="AE66" s="16" t="e">
        <x:f>(1-U66/90)^2</x:f>
      </x:c>
      <x:c r="AF66" s="16" t="e">
        <x:f>(1-U66/90)^2</x:f>
      </x:c>
      <x:c r="AG66" s="16" t="n">
        <x:f>IF(Shallow_Input!Y66&gt;0,(1-U66/Shallow_Input!Y66)^2,1)</x:f>
        <x:v>1</x:v>
      </x:c>
      <x:c r="AH66" s="16" t="e">
        <x:f>J66/MAX(G66,0.000001)</x:f>
      </x:c>
      <x:c r="AI66" s="16" t="e">
        <x:f>H66/MAX(L66,0.000001)</x:f>
      </x:c>
      <x:c r="AJ66" s="16" t="e">
        <x:f>IF(K66&gt;=G66,"OK","NG")</x:f>
      </x:c>
      <x:c r="AK66" s="16" t="e">
        <x:f>IF(I66&gt;=L66,"OK","NG")</x:f>
      </x:c>
      <x:c r="AL66" s="16" t="e">
        <x:f>IF(M66&gt;=0,"OK","NG")</x:f>
      </x:c>
      <x:c r="AM66" s="16" t="e">
        <x:f>IF(F66/MAX(R66,0.000001)&lt;=1,"Shallow","Deep")</x:f>
      </x:c>
    </x:row>
    <x:row r="67">
      <x:c r="A67" s="16" t="n">
        <x:f>Shallow_Input!A67</x:f>
        <x:v>0</x:v>
      </x:c>
      <x:c r="B67" s="16" t="n">
        <x:f>Shallow_Input!B67</x:f>
        <x:v>0</x:v>
      </x:c>
      <x:c r="C67" s="16" t="n">
        <x:f>Shallow_Input!C67</x:f>
        <x:v>0</x:v>
      </x:c>
      <x:c r="D67" s="16" t="n">
        <x:f>Shallow_Input!D67</x:f>
        <x:v>0</x:v>
      </x:c>
      <x:c r="E67" s="16" t="e">
        <x:f>IF(B67="S",1,Shallow_Input!E67)</x:f>
      </x:c>
      <x:c r="F67" s="16" t="n">
        <x:f>Shallow_Input!F67</x:f>
        <x:v>0</x:v>
      </x:c>
      <x:c r="G67" s="16" t="e">
        <x:f>LET(B0,D67,L0,E67,D0,F67,t,Shallow_Input!G67,Cx,Shallow_Input!H67,Cy,Shallow_Input!I67,Ox,Shallow_Input!J67,Oy,IF(B67="S",0,Shallow_Input!K67),dw,Shallow_Input!L67,Qc,Shallow_Input!M67,g1u,Shallow_Input!R67,g1sat,Shallow_Input!S67,gc,Shallow_Input!Z67,g1ave,IF(dw&gt;=D0,g1u,IF(dw&lt;=0,g1sat,(g1u*dw+g1sat*(D0-dw))/D0)),g1ave*MAX(B0*L0-Cx*Cy,0)*MAX(D0-t,0)+gc*Cx*Cy*MAX(D0-t,0)+t*B0*L0*gc+Qc)</x:f>
      </x:c>
      <x:c r="H67" s="16" t="e">
        <x:f>LET(shape,B67,B0,D67,L0,E67,D0,F67,dw,Shallow_Input!L67,g1u,Shallow_Input!R67,g1sat,Shallow_Input!S67,gw,Shallow_Input!AA67,g2u,Shallow_Input!V67,g2sat,Shallow_Input!W67,analysis,C67,c2,Shallow_Input!X67,phi1,Shallow_Input!U67,phi2,Shallow_Input!Y67,Bef,R67,Nq,V67,Nc,W67,Ny,X67,Fcs,Y67,Fqs,Z67,Fys,AA67,Fcd,AB67,Fqd,AC67,Fyd,AD67,Fci,AE67,Fqi,AF67,Fyi,AG67,g1ave,IF(dw&gt;=D0,g1u,IF(dw&lt;=0,g1sat,(g1u*dw+g1sat*(D0-dw))/D0)),g1eff,IF(dw&gt;=D0,g1u,IF(dw&lt;=0,g1sat-gw,(g1u*dw+(g1sat-gw)*(D0-dw))/D0)),g2width,IF(shape="S",B0,Bef),g2ave,IF(dw&gt;=D0+g2width,g2u,IF(dw&lt;=D0,g2sat,(g2u*(dw-D0)+g2sat*(g2width-(dw-D0)))/g2width)),g2eff,IF(dw&gt;=D0+g2width,g2u,IF(dw&lt;=D0,g2sat-gw,(g2u*(dw-D0)+(g2sat-gw)*(g2width-(dw-D0)))/g2width)),g1used,IF(analysis="T",g1ave,g1eff),g2used,IF(analysis="T",g2ave,g2eff),q,g1used*D0,c2*Nc*Fcs*Fcd*Fci+q*Nq*Fqs*Fqd*Fqi+0.5*Bef*g2used*Ny*Fys*Fyd*Fyi)</x:f>
      </x:c>
      <x:c r="I67" s="16" t="e">
        <x:f>H67/Shallow_Input!AB67</x:f>
      </x:c>
      <x:c r="J67" s="16" t="e">
        <x:f>H67*T67</x:f>
      </x:c>
      <x:c r="K67" s="16" t="e">
        <x:f>I67*T67</x:f>
      </x:c>
      <x:c r="L67" s="16" t="e">
        <x:f>G67/(D67*E67)*(1+6*N67/D67+6*O67/E67)</x:f>
      </x:c>
      <x:c r="M67" s="16" t="e">
        <x:f>G67/(D67*E67)*(1-6*N67/D67-6*O67/E67)</x:f>
      </x:c>
      <x:c r="N67" s="16" t="e">
        <x:f>ABS((Shallow_Input!Z67*Shallow_Input!H67*Shallow_Input!I67*MAX(Shallow_Input!F67-Shallow_Input!G67,0)+Shallow_Input!M67)*Shallow_Input!J67+Shallow_Input!P67*Shallow_Input!F67+Shallow_Input!O67)/G67</x:f>
      </x:c>
      <x:c r="O67" s="16" t="e">
        <x:f>ABS(((Shallow_Input!Z67*Shallow_Input!H67*Shallow_Input!I67*MAX(Shallow_Input!F67-Shallow_Input!G67,0)+Shallow_Input!M67)*IF(B67="S",0,Shallow_Input!K67)+Shallow_Input!Q67*Shallow_Input!F67+IF(B67="S",0,Shallow_Input!N67))/G67)</x:f>
      </x:c>
      <x:c r="P67" s="16" t="e">
        <x:f>D67-2*N67</x:f>
      </x:c>
      <x:c r="Q67" s="16" t="e">
        <x:f>E67-2*O67</x:f>
      </x:c>
      <x:c r="R67" s="16" t="e">
        <x:f>MAX(P67,0.000001)</x:f>
      </x:c>
      <x:c r="S67" s="16" t="e">
        <x:f>IF(B67="S",1,MAX(Q67,0.000001))</x:f>
      </x:c>
      <x:c r="T67" s="16" t="e">
        <x:f>R67*S67</x:f>
      </x:c>
      <x:c r="U67" s="16" t="e">
        <x:f>DEGREES(ATAN(SQRT(Shallow_Input!P67^2+Shallow_Input!Q67^2)/G67))</x:f>
      </x:c>
      <x:c r="V67" s="16" t="n">
        <x:f>EXP(PI()*TAN(RADIANS(Shallow_Input!Y67)))*TAN(PI()/4+RADIANS(Shallow_Input!Y67)/2)^2</x:f>
        <x:v>0.9999999999999998</x:v>
      </x:c>
      <x:c r="W67" s="16" t="n">
        <x:f>IF(ABS(TAN(RADIANS(Shallow_Input!Y67)))&gt;0.0000001,(V67-1)/TAN(RADIANS(Shallow_Input!Y67)),5.14)</x:f>
        <x:v>5.14</x:v>
      </x:c>
      <x:c r="X67" s="16" t="n">
        <x:f>2*(V67+1)*TAN(RADIANS(Shallow_Input!Y67))</x:f>
        <x:v>0</x:v>
      </x:c>
      <x:c r="Y67" s="16" t="e">
        <x:f>IF(B67="S",1,1+R67/S67*V67/MAX(W67,0.000001))</x:f>
      </x:c>
      <x:c r="Z67" s="16" t="e">
        <x:f>IF(B67="S",1,1+R67/S67*TAN(RADIANS(Shallow_Input!Y67)))</x:f>
      </x:c>
      <x:c r="AA67" s="16" t="e">
        <x:f>IF(B67="S",1,1-0.4*R67/S67)</x:f>
      </x:c>
      <x:c r="AB67" s="16" t="e">
        <x:f>1+0.4*IF(F67/MAX(R67,0.000001)&lt;=1,F67/MAX(R67,0.000001),ATAN(F67/MAX(R67,0.000001)))</x:f>
      </x:c>
      <x:c r="AC67" s="16" t="e">
        <x:f>1+2*TAN(RADIANS(Shallow_Input!U67))*(1-SIN(RADIANS(Shallow_Input!U67)))^2*IF(F67/MAX(R67,0.000001)&lt;=1,F67/MAX(R67,0.000001),ATAN(F67/MAX(R67,0.000001)))</x:f>
      </x:c>
      <x:c r="AD67" s="16" t="n">
        <x:f>1</x:f>
        <x:v>1</x:v>
      </x:c>
      <x:c r="AE67" s="16" t="e">
        <x:f>(1-U67/90)^2</x:f>
      </x:c>
      <x:c r="AF67" s="16" t="e">
        <x:f>(1-U67/90)^2</x:f>
      </x:c>
      <x:c r="AG67" s="16" t="n">
        <x:f>IF(Shallow_Input!Y67&gt;0,(1-U67/Shallow_Input!Y67)^2,1)</x:f>
        <x:v>1</x:v>
      </x:c>
      <x:c r="AH67" s="16" t="e">
        <x:f>J67/MAX(G67,0.000001)</x:f>
      </x:c>
      <x:c r="AI67" s="16" t="e">
        <x:f>H67/MAX(L67,0.000001)</x:f>
      </x:c>
      <x:c r="AJ67" s="16" t="e">
        <x:f>IF(K67&gt;=G67,"OK","NG")</x:f>
      </x:c>
      <x:c r="AK67" s="16" t="e">
        <x:f>IF(I67&gt;=L67,"OK","NG")</x:f>
      </x:c>
      <x:c r="AL67" s="16" t="e">
        <x:f>IF(M67&gt;=0,"OK","NG")</x:f>
      </x:c>
      <x:c r="AM67" s="16" t="e">
        <x:f>IF(F67/MAX(R67,0.000001)&lt;=1,"Shallow","Deep")</x:f>
      </x:c>
    </x:row>
    <x:row r="68">
      <x:c r="A68" s="16" t="n">
        <x:f>Shallow_Input!A68</x:f>
        <x:v>0</x:v>
      </x:c>
      <x:c r="B68" s="16" t="n">
        <x:f>Shallow_Input!B68</x:f>
        <x:v>0</x:v>
      </x:c>
      <x:c r="C68" s="16" t="n">
        <x:f>Shallow_Input!C68</x:f>
        <x:v>0</x:v>
      </x:c>
      <x:c r="D68" s="16" t="n">
        <x:f>Shallow_Input!D68</x:f>
        <x:v>0</x:v>
      </x:c>
      <x:c r="E68" s="16" t="e">
        <x:f>IF(B68="S",1,Shallow_Input!E68)</x:f>
      </x:c>
      <x:c r="F68" s="16" t="n">
        <x:f>Shallow_Input!F68</x:f>
        <x:v>0</x:v>
      </x:c>
      <x:c r="G68" s="16" t="e">
        <x:f>LET(B0,D68,L0,E68,D0,F68,t,Shallow_Input!G68,Cx,Shallow_Input!H68,Cy,Shallow_Input!I68,Ox,Shallow_Input!J68,Oy,IF(B68="S",0,Shallow_Input!K68),dw,Shallow_Input!L68,Qc,Shallow_Input!M68,g1u,Shallow_Input!R68,g1sat,Shallow_Input!S68,gc,Shallow_Input!Z68,g1ave,IF(dw&gt;=D0,g1u,IF(dw&lt;=0,g1sat,(g1u*dw+g1sat*(D0-dw))/D0)),g1ave*MAX(B0*L0-Cx*Cy,0)*MAX(D0-t,0)+gc*Cx*Cy*MAX(D0-t,0)+t*B0*L0*gc+Qc)</x:f>
      </x:c>
      <x:c r="H68" s="16" t="e">
        <x:f>LET(shape,B68,B0,D68,L0,E68,D0,F68,dw,Shallow_Input!L68,g1u,Shallow_Input!R68,g1sat,Shallow_Input!S68,gw,Shallow_Input!AA68,g2u,Shallow_Input!V68,g2sat,Shallow_Input!W68,analysis,C68,c2,Shallow_Input!X68,phi1,Shallow_Input!U68,phi2,Shallow_Input!Y68,Bef,R68,Nq,V68,Nc,W68,Ny,X68,Fcs,Y68,Fqs,Z68,Fys,AA68,Fcd,AB68,Fqd,AC68,Fyd,AD68,Fci,AE68,Fqi,AF68,Fyi,AG68,g1ave,IF(dw&gt;=D0,g1u,IF(dw&lt;=0,g1sat,(g1u*dw+g1sat*(D0-dw))/D0)),g1eff,IF(dw&gt;=D0,g1u,IF(dw&lt;=0,g1sat-gw,(g1u*dw+(g1sat-gw)*(D0-dw))/D0)),g2width,IF(shape="S",B0,Bef),g2ave,IF(dw&gt;=D0+g2width,g2u,IF(dw&lt;=D0,g2sat,(g2u*(dw-D0)+g2sat*(g2width-(dw-D0)))/g2width)),g2eff,IF(dw&gt;=D0+g2width,g2u,IF(dw&lt;=D0,g2sat-gw,(g2u*(dw-D0)+(g2sat-gw)*(g2width-(dw-D0)))/g2width)),g1used,IF(analysis="T",g1ave,g1eff),g2used,IF(analysis="T",g2ave,g2eff),q,g1used*D0,c2*Nc*Fcs*Fcd*Fci+q*Nq*Fqs*Fqd*Fqi+0.5*Bef*g2used*Ny*Fys*Fyd*Fyi)</x:f>
      </x:c>
      <x:c r="I68" s="16" t="e">
        <x:f>H68/Shallow_Input!AB68</x:f>
      </x:c>
      <x:c r="J68" s="16" t="e">
        <x:f>H68*T68</x:f>
      </x:c>
      <x:c r="K68" s="16" t="e">
        <x:f>I68*T68</x:f>
      </x:c>
      <x:c r="L68" s="16" t="e">
        <x:f>G68/(D68*E68)*(1+6*N68/D68+6*O68/E68)</x:f>
      </x:c>
      <x:c r="M68" s="16" t="e">
        <x:f>G68/(D68*E68)*(1-6*N68/D68-6*O68/E68)</x:f>
      </x:c>
      <x:c r="N68" s="16" t="e">
        <x:f>ABS((Shallow_Input!Z68*Shallow_Input!H68*Shallow_Input!I68*MAX(Shallow_Input!F68-Shallow_Input!G68,0)+Shallow_Input!M68)*Shallow_Input!J68+Shallow_Input!P68*Shallow_Input!F68+Shallow_Input!O68)/G68</x:f>
      </x:c>
      <x:c r="O68" s="16" t="e">
        <x:f>ABS(((Shallow_Input!Z68*Shallow_Input!H68*Shallow_Input!I68*MAX(Shallow_Input!F68-Shallow_Input!G68,0)+Shallow_Input!M68)*IF(B68="S",0,Shallow_Input!K68)+Shallow_Input!Q68*Shallow_Input!F68+IF(B68="S",0,Shallow_Input!N68))/G68)</x:f>
      </x:c>
      <x:c r="P68" s="16" t="e">
        <x:f>D68-2*N68</x:f>
      </x:c>
      <x:c r="Q68" s="16" t="e">
        <x:f>E68-2*O68</x:f>
      </x:c>
      <x:c r="R68" s="16" t="e">
        <x:f>MAX(P68,0.000001)</x:f>
      </x:c>
      <x:c r="S68" s="16" t="e">
        <x:f>IF(B68="S",1,MAX(Q68,0.000001))</x:f>
      </x:c>
      <x:c r="T68" s="16" t="e">
        <x:f>R68*S68</x:f>
      </x:c>
      <x:c r="U68" s="16" t="e">
        <x:f>DEGREES(ATAN(SQRT(Shallow_Input!P68^2+Shallow_Input!Q68^2)/G68))</x:f>
      </x:c>
      <x:c r="V68" s="16" t="n">
        <x:f>EXP(PI()*TAN(RADIANS(Shallow_Input!Y68)))*TAN(PI()/4+RADIANS(Shallow_Input!Y68)/2)^2</x:f>
        <x:v>0.9999999999999998</x:v>
      </x:c>
      <x:c r="W68" s="16" t="n">
        <x:f>IF(ABS(TAN(RADIANS(Shallow_Input!Y68)))&gt;0.0000001,(V68-1)/TAN(RADIANS(Shallow_Input!Y68)),5.14)</x:f>
        <x:v>5.14</x:v>
      </x:c>
      <x:c r="X68" s="16" t="n">
        <x:f>2*(V68+1)*TAN(RADIANS(Shallow_Input!Y68))</x:f>
        <x:v>0</x:v>
      </x:c>
      <x:c r="Y68" s="16" t="e">
        <x:f>IF(B68="S",1,1+R68/S68*V68/MAX(W68,0.000001))</x:f>
      </x:c>
      <x:c r="Z68" s="16" t="e">
        <x:f>IF(B68="S",1,1+R68/S68*TAN(RADIANS(Shallow_Input!Y68)))</x:f>
      </x:c>
      <x:c r="AA68" s="16" t="e">
        <x:f>IF(B68="S",1,1-0.4*R68/S68)</x:f>
      </x:c>
      <x:c r="AB68" s="16" t="e">
        <x:f>1+0.4*IF(F68/MAX(R68,0.000001)&lt;=1,F68/MAX(R68,0.000001),ATAN(F68/MAX(R68,0.000001)))</x:f>
      </x:c>
      <x:c r="AC68" s="16" t="e">
        <x:f>1+2*TAN(RADIANS(Shallow_Input!U68))*(1-SIN(RADIANS(Shallow_Input!U68)))^2*IF(F68/MAX(R68,0.000001)&lt;=1,F68/MAX(R68,0.000001),ATAN(F68/MAX(R68,0.000001)))</x:f>
      </x:c>
      <x:c r="AD68" s="16" t="n">
        <x:f>1</x:f>
        <x:v>1</x:v>
      </x:c>
      <x:c r="AE68" s="16" t="e">
        <x:f>(1-U68/90)^2</x:f>
      </x:c>
      <x:c r="AF68" s="16" t="e">
        <x:f>(1-U68/90)^2</x:f>
      </x:c>
      <x:c r="AG68" s="16" t="n">
        <x:f>IF(Shallow_Input!Y68&gt;0,(1-U68/Shallow_Input!Y68)^2,1)</x:f>
        <x:v>1</x:v>
      </x:c>
      <x:c r="AH68" s="16" t="e">
        <x:f>J68/MAX(G68,0.000001)</x:f>
      </x:c>
      <x:c r="AI68" s="16" t="e">
        <x:f>H68/MAX(L68,0.000001)</x:f>
      </x:c>
      <x:c r="AJ68" s="16" t="e">
        <x:f>IF(K68&gt;=G68,"OK","NG")</x:f>
      </x:c>
      <x:c r="AK68" s="16" t="e">
        <x:f>IF(I68&gt;=L68,"OK","NG")</x:f>
      </x:c>
      <x:c r="AL68" s="16" t="e">
        <x:f>IF(M68&gt;=0,"OK","NG")</x:f>
      </x:c>
      <x:c r="AM68" s="16" t="e">
        <x:f>IF(F68/MAX(R68,0.000001)&lt;=1,"Shallow","Deep")</x:f>
      </x:c>
    </x:row>
    <x:row r="69">
      <x:c r="A69" s="16" t="n">
        <x:f>Shallow_Input!A69</x:f>
        <x:v>0</x:v>
      </x:c>
      <x:c r="B69" s="16" t="n">
        <x:f>Shallow_Input!B69</x:f>
        <x:v>0</x:v>
      </x:c>
      <x:c r="C69" s="16" t="n">
        <x:f>Shallow_Input!C69</x:f>
        <x:v>0</x:v>
      </x:c>
      <x:c r="D69" s="16" t="n">
        <x:f>Shallow_Input!D69</x:f>
        <x:v>0</x:v>
      </x:c>
      <x:c r="E69" s="16" t="e">
        <x:f>IF(B69="S",1,Shallow_Input!E69)</x:f>
      </x:c>
      <x:c r="F69" s="16" t="n">
        <x:f>Shallow_Input!F69</x:f>
        <x:v>0</x:v>
      </x:c>
      <x:c r="G69" s="16" t="e">
        <x:f>LET(B0,D69,L0,E69,D0,F69,t,Shallow_Input!G69,Cx,Shallow_Input!H69,Cy,Shallow_Input!I69,Ox,Shallow_Input!J69,Oy,IF(B69="S",0,Shallow_Input!K69),dw,Shallow_Input!L69,Qc,Shallow_Input!M69,g1u,Shallow_Input!R69,g1sat,Shallow_Input!S69,gc,Shallow_Input!Z69,g1ave,IF(dw&gt;=D0,g1u,IF(dw&lt;=0,g1sat,(g1u*dw+g1sat*(D0-dw))/D0)),g1ave*MAX(B0*L0-Cx*Cy,0)*MAX(D0-t,0)+gc*Cx*Cy*MAX(D0-t,0)+t*B0*L0*gc+Qc)</x:f>
      </x:c>
      <x:c r="H69" s="16" t="e">
        <x:f>LET(shape,B69,B0,D69,L0,E69,D0,F69,dw,Shallow_Input!L69,g1u,Shallow_Input!R69,g1sat,Shallow_Input!S69,gw,Shallow_Input!AA69,g2u,Shallow_Input!V69,g2sat,Shallow_Input!W69,analysis,C69,c2,Shallow_Input!X69,phi1,Shallow_Input!U69,phi2,Shallow_Input!Y69,Bef,R69,Nq,V69,Nc,W69,Ny,X69,Fcs,Y69,Fqs,Z69,Fys,AA69,Fcd,AB69,Fqd,AC69,Fyd,AD69,Fci,AE69,Fqi,AF69,Fyi,AG69,g1ave,IF(dw&gt;=D0,g1u,IF(dw&lt;=0,g1sat,(g1u*dw+g1sat*(D0-dw))/D0)),g1eff,IF(dw&gt;=D0,g1u,IF(dw&lt;=0,g1sat-gw,(g1u*dw+(g1sat-gw)*(D0-dw))/D0)),g2width,IF(shape="S",B0,Bef),g2ave,IF(dw&gt;=D0+g2width,g2u,IF(dw&lt;=D0,g2sat,(g2u*(dw-D0)+g2sat*(g2width-(dw-D0)))/g2width)),g2eff,IF(dw&gt;=D0+g2width,g2u,IF(dw&lt;=D0,g2sat-gw,(g2u*(dw-D0)+(g2sat-gw)*(g2width-(dw-D0)))/g2width)),g1used,IF(analysis="T",g1ave,g1eff),g2used,IF(analysis="T",g2ave,g2eff),q,g1used*D0,c2*Nc*Fcs*Fcd*Fci+q*Nq*Fqs*Fqd*Fqi+0.5*Bef*g2used*Ny*Fys*Fyd*Fyi)</x:f>
      </x:c>
      <x:c r="I69" s="16" t="e">
        <x:f>H69/Shallow_Input!AB69</x:f>
      </x:c>
      <x:c r="J69" s="16" t="e">
        <x:f>H69*T69</x:f>
      </x:c>
      <x:c r="K69" s="16" t="e">
        <x:f>I69*T69</x:f>
      </x:c>
      <x:c r="L69" s="16" t="e">
        <x:f>G69/(D69*E69)*(1+6*N69/D69+6*O69/E69)</x:f>
      </x:c>
      <x:c r="M69" s="16" t="e">
        <x:f>G69/(D69*E69)*(1-6*N69/D69-6*O69/E69)</x:f>
      </x:c>
      <x:c r="N69" s="16" t="e">
        <x:f>ABS((Shallow_Input!Z69*Shallow_Input!H69*Shallow_Input!I69*MAX(Shallow_Input!F69-Shallow_Input!G69,0)+Shallow_Input!M69)*Shallow_Input!J69+Shallow_Input!P69*Shallow_Input!F69+Shallow_Input!O69)/G69</x:f>
      </x:c>
      <x:c r="O69" s="16" t="e">
        <x:f>ABS(((Shallow_Input!Z69*Shallow_Input!H69*Shallow_Input!I69*MAX(Shallow_Input!F69-Shallow_Input!G69,0)+Shallow_Input!M69)*IF(B69="S",0,Shallow_Input!K69)+Shallow_Input!Q69*Shallow_Input!F69+IF(B69="S",0,Shallow_Input!N69))/G69)</x:f>
      </x:c>
      <x:c r="P69" s="16" t="e">
        <x:f>D69-2*N69</x:f>
      </x:c>
      <x:c r="Q69" s="16" t="e">
        <x:f>E69-2*O69</x:f>
      </x:c>
      <x:c r="R69" s="16" t="e">
        <x:f>MAX(P69,0.000001)</x:f>
      </x:c>
      <x:c r="S69" s="16" t="e">
        <x:f>IF(B69="S",1,MAX(Q69,0.000001))</x:f>
      </x:c>
      <x:c r="T69" s="16" t="e">
        <x:f>R69*S69</x:f>
      </x:c>
      <x:c r="U69" s="16" t="e">
        <x:f>DEGREES(ATAN(SQRT(Shallow_Input!P69^2+Shallow_Input!Q69^2)/G69))</x:f>
      </x:c>
      <x:c r="V69" s="16" t="n">
        <x:f>EXP(PI()*TAN(RADIANS(Shallow_Input!Y69)))*TAN(PI()/4+RADIANS(Shallow_Input!Y69)/2)^2</x:f>
        <x:v>0.9999999999999998</x:v>
      </x:c>
      <x:c r="W69" s="16" t="n">
        <x:f>IF(ABS(TAN(RADIANS(Shallow_Input!Y69)))&gt;0.0000001,(V69-1)/TAN(RADIANS(Shallow_Input!Y69)),5.14)</x:f>
        <x:v>5.14</x:v>
      </x:c>
      <x:c r="X69" s="16" t="n">
        <x:f>2*(V69+1)*TAN(RADIANS(Shallow_Input!Y69))</x:f>
        <x:v>0</x:v>
      </x:c>
      <x:c r="Y69" s="16" t="e">
        <x:f>IF(B69="S",1,1+R69/S69*V69/MAX(W69,0.000001))</x:f>
      </x:c>
      <x:c r="Z69" s="16" t="e">
        <x:f>IF(B69="S",1,1+R69/S69*TAN(RADIANS(Shallow_Input!Y69)))</x:f>
      </x:c>
      <x:c r="AA69" s="16" t="e">
        <x:f>IF(B69="S",1,1-0.4*R69/S69)</x:f>
      </x:c>
      <x:c r="AB69" s="16" t="e">
        <x:f>1+0.4*IF(F69/MAX(R69,0.000001)&lt;=1,F69/MAX(R69,0.000001),ATAN(F69/MAX(R69,0.000001)))</x:f>
      </x:c>
      <x:c r="AC69" s="16" t="e">
        <x:f>1+2*TAN(RADIANS(Shallow_Input!U69))*(1-SIN(RADIANS(Shallow_Input!U69)))^2*IF(F69/MAX(R69,0.000001)&lt;=1,F69/MAX(R69,0.000001),ATAN(F69/MAX(R69,0.000001)))</x:f>
      </x:c>
      <x:c r="AD69" s="16" t="n">
        <x:f>1</x:f>
        <x:v>1</x:v>
      </x:c>
      <x:c r="AE69" s="16" t="e">
        <x:f>(1-U69/90)^2</x:f>
      </x:c>
      <x:c r="AF69" s="16" t="e">
        <x:f>(1-U69/90)^2</x:f>
      </x:c>
      <x:c r="AG69" s="16" t="n">
        <x:f>IF(Shallow_Input!Y69&gt;0,(1-U69/Shallow_Input!Y69)^2,1)</x:f>
        <x:v>1</x:v>
      </x:c>
      <x:c r="AH69" s="16" t="e">
        <x:f>J69/MAX(G69,0.000001)</x:f>
      </x:c>
      <x:c r="AI69" s="16" t="e">
        <x:f>H69/MAX(L69,0.000001)</x:f>
      </x:c>
      <x:c r="AJ69" s="16" t="e">
        <x:f>IF(K69&gt;=G69,"OK","NG")</x:f>
      </x:c>
      <x:c r="AK69" s="16" t="e">
        <x:f>IF(I69&gt;=L69,"OK","NG")</x:f>
      </x:c>
      <x:c r="AL69" s="16" t="e">
        <x:f>IF(M69&gt;=0,"OK","NG")</x:f>
      </x:c>
      <x:c r="AM69" s="16" t="e">
        <x:f>IF(F69/MAX(R69,0.000001)&lt;=1,"Shallow","Deep")</x:f>
      </x:c>
    </x:row>
    <x:row r="70">
      <x:c r="A70" s="16" t="n">
        <x:f>Shallow_Input!A70</x:f>
        <x:v>0</x:v>
      </x:c>
      <x:c r="B70" s="16" t="n">
        <x:f>Shallow_Input!B70</x:f>
        <x:v>0</x:v>
      </x:c>
      <x:c r="C70" s="16" t="n">
        <x:f>Shallow_Input!C70</x:f>
        <x:v>0</x:v>
      </x:c>
      <x:c r="D70" s="16" t="n">
        <x:f>Shallow_Input!D70</x:f>
        <x:v>0</x:v>
      </x:c>
      <x:c r="E70" s="16" t="e">
        <x:f>IF(B70="S",1,Shallow_Input!E70)</x:f>
      </x:c>
      <x:c r="F70" s="16" t="n">
        <x:f>Shallow_Input!F70</x:f>
        <x:v>0</x:v>
      </x:c>
      <x:c r="G70" s="16" t="e">
        <x:f>LET(B0,D70,L0,E70,D0,F70,t,Shallow_Input!G70,Cx,Shallow_Input!H70,Cy,Shallow_Input!I70,Ox,Shallow_Input!J70,Oy,IF(B70="S",0,Shallow_Input!K70),dw,Shallow_Input!L70,Qc,Shallow_Input!M70,g1u,Shallow_Input!R70,g1sat,Shallow_Input!S70,gc,Shallow_Input!Z70,g1ave,IF(dw&gt;=D0,g1u,IF(dw&lt;=0,g1sat,(g1u*dw+g1sat*(D0-dw))/D0)),g1ave*MAX(B0*L0-Cx*Cy,0)*MAX(D0-t,0)+gc*Cx*Cy*MAX(D0-t,0)+t*B0*L0*gc+Qc)</x:f>
      </x:c>
      <x:c r="H70" s="16" t="e">
        <x:f>LET(shape,B70,B0,D70,L0,E70,D0,F70,dw,Shallow_Input!L70,g1u,Shallow_Input!R70,g1sat,Shallow_Input!S70,gw,Shallow_Input!AA70,g2u,Shallow_Input!V70,g2sat,Shallow_Input!W70,analysis,C70,c2,Shallow_Input!X70,phi1,Shallow_Input!U70,phi2,Shallow_Input!Y70,Bef,R70,Nq,V70,Nc,W70,Ny,X70,Fcs,Y70,Fqs,Z70,Fys,AA70,Fcd,AB70,Fqd,AC70,Fyd,AD70,Fci,AE70,Fqi,AF70,Fyi,AG70,g1ave,IF(dw&gt;=D0,g1u,IF(dw&lt;=0,g1sat,(g1u*dw+g1sat*(D0-dw))/D0)),g1eff,IF(dw&gt;=D0,g1u,IF(dw&lt;=0,g1sat-gw,(g1u*dw+(g1sat-gw)*(D0-dw))/D0)),g2width,IF(shape="S",B0,Bef),g2ave,IF(dw&gt;=D0+g2width,g2u,IF(dw&lt;=D0,g2sat,(g2u*(dw-D0)+g2sat*(g2width-(dw-D0)))/g2width)),g2eff,IF(dw&gt;=D0+g2width,g2u,IF(dw&lt;=D0,g2sat-gw,(g2u*(dw-D0)+(g2sat-gw)*(g2width-(dw-D0)))/g2width)),g1used,IF(analysis="T",g1ave,g1eff),g2used,IF(analysis="T",g2ave,g2eff),q,g1used*D0,c2*Nc*Fcs*Fcd*Fci+q*Nq*Fqs*Fqd*Fqi+0.5*Bef*g2used*Ny*Fys*Fyd*Fyi)</x:f>
      </x:c>
      <x:c r="I70" s="16" t="e">
        <x:f>H70/Shallow_Input!AB70</x:f>
      </x:c>
      <x:c r="J70" s="16" t="e">
        <x:f>H70*T70</x:f>
      </x:c>
      <x:c r="K70" s="16" t="e">
        <x:f>I70*T70</x:f>
      </x:c>
      <x:c r="L70" s="16" t="e">
        <x:f>G70/(D70*E70)*(1+6*N70/D70+6*O70/E70)</x:f>
      </x:c>
      <x:c r="M70" s="16" t="e">
        <x:f>G70/(D70*E70)*(1-6*N70/D70-6*O70/E70)</x:f>
      </x:c>
      <x:c r="N70" s="16" t="e">
        <x:f>ABS((Shallow_Input!Z70*Shallow_Input!H70*Shallow_Input!I70*MAX(Shallow_Input!F70-Shallow_Input!G70,0)+Shallow_Input!M70)*Shallow_Input!J70+Shallow_Input!P70*Shallow_Input!F70+Shallow_Input!O70)/G70</x:f>
      </x:c>
      <x:c r="O70" s="16" t="e">
        <x:f>ABS(((Shallow_Input!Z70*Shallow_Input!H70*Shallow_Input!I70*MAX(Shallow_Input!F70-Shallow_Input!G70,0)+Shallow_Input!M70)*IF(B70="S",0,Shallow_Input!K70)+Shallow_Input!Q70*Shallow_Input!F70+IF(B70="S",0,Shallow_Input!N70))/G70)</x:f>
      </x:c>
      <x:c r="P70" s="16" t="e">
        <x:f>D70-2*N70</x:f>
      </x:c>
      <x:c r="Q70" s="16" t="e">
        <x:f>E70-2*O70</x:f>
      </x:c>
      <x:c r="R70" s="16" t="e">
        <x:f>MAX(P70,0.000001)</x:f>
      </x:c>
      <x:c r="S70" s="16" t="e">
        <x:f>IF(B70="S",1,MAX(Q70,0.000001))</x:f>
      </x:c>
      <x:c r="T70" s="16" t="e">
        <x:f>R70*S70</x:f>
      </x:c>
      <x:c r="U70" s="16" t="e">
        <x:f>DEGREES(ATAN(SQRT(Shallow_Input!P70^2+Shallow_Input!Q70^2)/G70))</x:f>
      </x:c>
      <x:c r="V70" s="16" t="n">
        <x:f>EXP(PI()*TAN(RADIANS(Shallow_Input!Y70)))*TAN(PI()/4+RADIANS(Shallow_Input!Y70)/2)^2</x:f>
        <x:v>0.9999999999999998</x:v>
      </x:c>
      <x:c r="W70" s="16" t="n">
        <x:f>IF(ABS(TAN(RADIANS(Shallow_Input!Y70)))&gt;0.0000001,(V70-1)/TAN(RADIANS(Shallow_Input!Y70)),5.14)</x:f>
        <x:v>5.14</x:v>
      </x:c>
      <x:c r="X70" s="16" t="n">
        <x:f>2*(V70+1)*TAN(RADIANS(Shallow_Input!Y70))</x:f>
        <x:v>0</x:v>
      </x:c>
      <x:c r="Y70" s="16" t="e">
        <x:f>IF(B70="S",1,1+R70/S70*V70/MAX(W70,0.000001))</x:f>
      </x:c>
      <x:c r="Z70" s="16" t="e">
        <x:f>IF(B70="S",1,1+R70/S70*TAN(RADIANS(Shallow_Input!Y70)))</x:f>
      </x:c>
      <x:c r="AA70" s="16" t="e">
        <x:f>IF(B70="S",1,1-0.4*R70/S70)</x:f>
      </x:c>
      <x:c r="AB70" s="16" t="e">
        <x:f>1+0.4*IF(F70/MAX(R70,0.000001)&lt;=1,F70/MAX(R70,0.000001),ATAN(F70/MAX(R70,0.000001)))</x:f>
      </x:c>
      <x:c r="AC70" s="16" t="e">
        <x:f>1+2*TAN(RADIANS(Shallow_Input!U70))*(1-SIN(RADIANS(Shallow_Input!U70)))^2*IF(F70/MAX(R70,0.000001)&lt;=1,F70/MAX(R70,0.000001),ATAN(F70/MAX(R70,0.000001)))</x:f>
      </x:c>
      <x:c r="AD70" s="16" t="n">
        <x:f>1</x:f>
        <x:v>1</x:v>
      </x:c>
      <x:c r="AE70" s="16" t="e">
        <x:f>(1-U70/90)^2</x:f>
      </x:c>
      <x:c r="AF70" s="16" t="e">
        <x:f>(1-U70/90)^2</x:f>
      </x:c>
      <x:c r="AG70" s="16" t="n">
        <x:f>IF(Shallow_Input!Y70&gt;0,(1-U70/Shallow_Input!Y70)^2,1)</x:f>
        <x:v>1</x:v>
      </x:c>
      <x:c r="AH70" s="16" t="e">
        <x:f>J70/MAX(G70,0.000001)</x:f>
      </x:c>
      <x:c r="AI70" s="16" t="e">
        <x:f>H70/MAX(L70,0.000001)</x:f>
      </x:c>
      <x:c r="AJ70" s="16" t="e">
        <x:f>IF(K70&gt;=G70,"OK","NG")</x:f>
      </x:c>
      <x:c r="AK70" s="16" t="e">
        <x:f>IF(I70&gt;=L70,"OK","NG")</x:f>
      </x:c>
      <x:c r="AL70" s="16" t="e">
        <x:f>IF(M70&gt;=0,"OK","NG")</x:f>
      </x:c>
      <x:c r="AM70" s="16" t="e">
        <x:f>IF(F70/MAX(R70,0.000001)&lt;=1,"Shallow","Deep")</x:f>
      </x:c>
    </x:row>
    <x:row r="71">
      <x:c r="A71" s="16" t="n">
        <x:f>Shallow_Input!A71</x:f>
        <x:v>0</x:v>
      </x:c>
      <x:c r="B71" s="16" t="n">
        <x:f>Shallow_Input!B71</x:f>
        <x:v>0</x:v>
      </x:c>
      <x:c r="C71" s="16" t="n">
        <x:f>Shallow_Input!C71</x:f>
        <x:v>0</x:v>
      </x:c>
      <x:c r="D71" s="16" t="n">
        <x:f>Shallow_Input!D71</x:f>
        <x:v>0</x:v>
      </x:c>
      <x:c r="E71" s="16" t="e">
        <x:f>IF(B71="S",1,Shallow_Input!E71)</x:f>
      </x:c>
      <x:c r="F71" s="16" t="n">
        <x:f>Shallow_Input!F71</x:f>
        <x:v>0</x:v>
      </x:c>
      <x:c r="G71" s="16" t="e">
        <x:f>LET(B0,D71,L0,E71,D0,F71,t,Shallow_Input!G71,Cx,Shallow_Input!H71,Cy,Shallow_Input!I71,Ox,Shallow_Input!J71,Oy,IF(B71="S",0,Shallow_Input!K71),dw,Shallow_Input!L71,Qc,Shallow_Input!M71,g1u,Shallow_Input!R71,g1sat,Shallow_Input!S71,gc,Shallow_Input!Z71,g1ave,IF(dw&gt;=D0,g1u,IF(dw&lt;=0,g1sat,(g1u*dw+g1sat*(D0-dw))/D0)),g1ave*MAX(B0*L0-Cx*Cy,0)*MAX(D0-t,0)+gc*Cx*Cy*MAX(D0-t,0)+t*B0*L0*gc+Qc)</x:f>
      </x:c>
      <x:c r="H71" s="16" t="e">
        <x:f>LET(shape,B71,B0,D71,L0,E71,D0,F71,dw,Shallow_Input!L71,g1u,Shallow_Input!R71,g1sat,Shallow_Input!S71,gw,Shallow_Input!AA71,g2u,Shallow_Input!V71,g2sat,Shallow_Input!W71,analysis,C71,c2,Shallow_Input!X71,phi1,Shallow_Input!U71,phi2,Shallow_Input!Y71,Bef,R71,Nq,V71,Nc,W71,Ny,X71,Fcs,Y71,Fqs,Z71,Fys,AA71,Fcd,AB71,Fqd,AC71,Fyd,AD71,Fci,AE71,Fqi,AF71,Fyi,AG71,g1ave,IF(dw&gt;=D0,g1u,IF(dw&lt;=0,g1sat,(g1u*dw+g1sat*(D0-dw))/D0)),g1eff,IF(dw&gt;=D0,g1u,IF(dw&lt;=0,g1sat-gw,(g1u*dw+(g1sat-gw)*(D0-dw))/D0)),g2width,IF(shape="S",B0,Bef),g2ave,IF(dw&gt;=D0+g2width,g2u,IF(dw&lt;=D0,g2sat,(g2u*(dw-D0)+g2sat*(g2width-(dw-D0)))/g2width)),g2eff,IF(dw&gt;=D0+g2width,g2u,IF(dw&lt;=D0,g2sat-gw,(g2u*(dw-D0)+(g2sat-gw)*(g2width-(dw-D0)))/g2width)),g1used,IF(analysis="T",g1ave,g1eff),g2used,IF(analysis="T",g2ave,g2eff),q,g1used*D0,c2*Nc*Fcs*Fcd*Fci+q*Nq*Fqs*Fqd*Fqi+0.5*Bef*g2used*Ny*Fys*Fyd*Fyi)</x:f>
      </x:c>
      <x:c r="I71" s="16" t="e">
        <x:f>H71/Shallow_Input!AB71</x:f>
      </x:c>
      <x:c r="J71" s="16" t="e">
        <x:f>H71*T71</x:f>
      </x:c>
      <x:c r="K71" s="16" t="e">
        <x:f>I71*T71</x:f>
      </x:c>
      <x:c r="L71" s="16" t="e">
        <x:f>G71/(D71*E71)*(1+6*N71/D71+6*O71/E71)</x:f>
      </x:c>
      <x:c r="M71" s="16" t="e">
        <x:f>G71/(D71*E71)*(1-6*N71/D71-6*O71/E71)</x:f>
      </x:c>
      <x:c r="N71" s="16" t="e">
        <x:f>ABS((Shallow_Input!Z71*Shallow_Input!H71*Shallow_Input!I71*MAX(Shallow_Input!F71-Shallow_Input!G71,0)+Shallow_Input!M71)*Shallow_Input!J71+Shallow_Input!P71*Shallow_Input!F71+Shallow_Input!O71)/G71</x:f>
      </x:c>
      <x:c r="O71" s="16" t="e">
        <x:f>ABS(((Shallow_Input!Z71*Shallow_Input!H71*Shallow_Input!I71*MAX(Shallow_Input!F71-Shallow_Input!G71,0)+Shallow_Input!M71)*IF(B71="S",0,Shallow_Input!K71)+Shallow_Input!Q71*Shallow_Input!F71+IF(B71="S",0,Shallow_Input!N71))/G71)</x:f>
      </x:c>
      <x:c r="P71" s="16" t="e">
        <x:f>D71-2*N71</x:f>
      </x:c>
      <x:c r="Q71" s="16" t="e">
        <x:f>E71-2*O71</x:f>
      </x:c>
      <x:c r="R71" s="16" t="e">
        <x:f>MAX(P71,0.000001)</x:f>
      </x:c>
      <x:c r="S71" s="16" t="e">
        <x:f>IF(B71="S",1,MAX(Q71,0.000001))</x:f>
      </x:c>
      <x:c r="T71" s="16" t="e">
        <x:f>R71*S71</x:f>
      </x:c>
      <x:c r="U71" s="16" t="e">
        <x:f>DEGREES(ATAN(SQRT(Shallow_Input!P71^2+Shallow_Input!Q71^2)/G71))</x:f>
      </x:c>
      <x:c r="V71" s="16" t="n">
        <x:f>EXP(PI()*TAN(RADIANS(Shallow_Input!Y71)))*TAN(PI()/4+RADIANS(Shallow_Input!Y71)/2)^2</x:f>
        <x:v>0.9999999999999998</x:v>
      </x:c>
      <x:c r="W71" s="16" t="n">
        <x:f>IF(ABS(TAN(RADIANS(Shallow_Input!Y71)))&gt;0.0000001,(V71-1)/TAN(RADIANS(Shallow_Input!Y71)),5.14)</x:f>
        <x:v>5.14</x:v>
      </x:c>
      <x:c r="X71" s="16" t="n">
        <x:f>2*(V71+1)*TAN(RADIANS(Shallow_Input!Y71))</x:f>
        <x:v>0</x:v>
      </x:c>
      <x:c r="Y71" s="16" t="e">
        <x:f>IF(B71="S",1,1+R71/S71*V71/MAX(W71,0.000001))</x:f>
      </x:c>
      <x:c r="Z71" s="16" t="e">
        <x:f>IF(B71="S",1,1+R71/S71*TAN(RADIANS(Shallow_Input!Y71)))</x:f>
      </x:c>
      <x:c r="AA71" s="16" t="e">
        <x:f>IF(B71="S",1,1-0.4*R71/S71)</x:f>
      </x:c>
      <x:c r="AB71" s="16" t="e">
        <x:f>1+0.4*IF(F71/MAX(R71,0.000001)&lt;=1,F71/MAX(R71,0.000001),ATAN(F71/MAX(R71,0.000001)))</x:f>
      </x:c>
      <x:c r="AC71" s="16" t="e">
        <x:f>1+2*TAN(RADIANS(Shallow_Input!U71))*(1-SIN(RADIANS(Shallow_Input!U71)))^2*IF(F71/MAX(R71,0.000001)&lt;=1,F71/MAX(R71,0.000001),ATAN(F71/MAX(R71,0.000001)))</x:f>
      </x:c>
      <x:c r="AD71" s="16" t="n">
        <x:f>1</x:f>
        <x:v>1</x:v>
      </x:c>
      <x:c r="AE71" s="16" t="e">
        <x:f>(1-U71/90)^2</x:f>
      </x:c>
      <x:c r="AF71" s="16" t="e">
        <x:f>(1-U71/90)^2</x:f>
      </x:c>
      <x:c r="AG71" s="16" t="n">
        <x:f>IF(Shallow_Input!Y71&gt;0,(1-U71/Shallow_Input!Y71)^2,1)</x:f>
        <x:v>1</x:v>
      </x:c>
      <x:c r="AH71" s="16" t="e">
        <x:f>J71/MAX(G71,0.000001)</x:f>
      </x:c>
      <x:c r="AI71" s="16" t="e">
        <x:f>H71/MAX(L71,0.000001)</x:f>
      </x:c>
      <x:c r="AJ71" s="16" t="e">
        <x:f>IF(K71&gt;=G71,"OK","NG")</x:f>
      </x:c>
      <x:c r="AK71" s="16" t="e">
        <x:f>IF(I71&gt;=L71,"OK","NG")</x:f>
      </x:c>
      <x:c r="AL71" s="16" t="e">
        <x:f>IF(M71&gt;=0,"OK","NG")</x:f>
      </x:c>
      <x:c r="AM71" s="16" t="e">
        <x:f>IF(F71/MAX(R71,0.000001)&lt;=1,"Shallow","Deep")</x:f>
      </x:c>
    </x:row>
    <x:row r="72">
      <x:c r="A72" s="16" t="n">
        <x:f>Shallow_Input!A72</x:f>
        <x:v>0</x:v>
      </x:c>
      <x:c r="B72" s="16" t="n">
        <x:f>Shallow_Input!B72</x:f>
        <x:v>0</x:v>
      </x:c>
      <x:c r="C72" s="16" t="n">
        <x:f>Shallow_Input!C72</x:f>
        <x:v>0</x:v>
      </x:c>
      <x:c r="D72" s="16" t="n">
        <x:f>Shallow_Input!D72</x:f>
        <x:v>0</x:v>
      </x:c>
      <x:c r="E72" s="16" t="e">
        <x:f>IF(B72="S",1,Shallow_Input!E72)</x:f>
      </x:c>
      <x:c r="F72" s="16" t="n">
        <x:f>Shallow_Input!F72</x:f>
        <x:v>0</x:v>
      </x:c>
      <x:c r="G72" s="16" t="e">
        <x:f>LET(B0,D72,L0,E72,D0,F72,t,Shallow_Input!G72,Cx,Shallow_Input!H72,Cy,Shallow_Input!I72,Ox,Shallow_Input!J72,Oy,IF(B72="S",0,Shallow_Input!K72),dw,Shallow_Input!L72,Qc,Shallow_Input!M72,g1u,Shallow_Input!R72,g1sat,Shallow_Input!S72,gc,Shallow_Input!Z72,g1ave,IF(dw&gt;=D0,g1u,IF(dw&lt;=0,g1sat,(g1u*dw+g1sat*(D0-dw))/D0)),g1ave*MAX(B0*L0-Cx*Cy,0)*MAX(D0-t,0)+gc*Cx*Cy*MAX(D0-t,0)+t*B0*L0*gc+Qc)</x:f>
      </x:c>
      <x:c r="H72" s="16" t="e">
        <x:f>LET(shape,B72,B0,D72,L0,E72,D0,F72,dw,Shallow_Input!L72,g1u,Shallow_Input!R72,g1sat,Shallow_Input!S72,gw,Shallow_Input!AA72,g2u,Shallow_Input!V72,g2sat,Shallow_Input!W72,analysis,C72,c2,Shallow_Input!X72,phi1,Shallow_Input!U72,phi2,Shallow_Input!Y72,Bef,R72,Nq,V72,Nc,W72,Ny,X72,Fcs,Y72,Fqs,Z72,Fys,AA72,Fcd,AB72,Fqd,AC72,Fyd,AD72,Fci,AE72,Fqi,AF72,Fyi,AG72,g1ave,IF(dw&gt;=D0,g1u,IF(dw&lt;=0,g1sat,(g1u*dw+g1sat*(D0-dw))/D0)),g1eff,IF(dw&gt;=D0,g1u,IF(dw&lt;=0,g1sat-gw,(g1u*dw+(g1sat-gw)*(D0-dw))/D0)),g2width,IF(shape="S",B0,Bef),g2ave,IF(dw&gt;=D0+g2width,g2u,IF(dw&lt;=D0,g2sat,(g2u*(dw-D0)+g2sat*(g2width-(dw-D0)))/g2width)),g2eff,IF(dw&gt;=D0+g2width,g2u,IF(dw&lt;=D0,g2sat-gw,(g2u*(dw-D0)+(g2sat-gw)*(g2width-(dw-D0)))/g2width)),g1used,IF(analysis="T",g1ave,g1eff),g2used,IF(analysis="T",g2ave,g2eff),q,g1used*D0,c2*Nc*Fcs*Fcd*Fci+q*Nq*Fqs*Fqd*Fqi+0.5*Bef*g2used*Ny*Fys*Fyd*Fyi)</x:f>
      </x:c>
      <x:c r="I72" s="16" t="e">
        <x:f>H72/Shallow_Input!AB72</x:f>
      </x:c>
      <x:c r="J72" s="16" t="e">
        <x:f>H72*T72</x:f>
      </x:c>
      <x:c r="K72" s="16" t="e">
        <x:f>I72*T72</x:f>
      </x:c>
      <x:c r="L72" s="16" t="e">
        <x:f>G72/(D72*E72)*(1+6*N72/D72+6*O72/E72)</x:f>
      </x:c>
      <x:c r="M72" s="16" t="e">
        <x:f>G72/(D72*E72)*(1-6*N72/D72-6*O72/E72)</x:f>
      </x:c>
      <x:c r="N72" s="16" t="e">
        <x:f>ABS((Shallow_Input!Z72*Shallow_Input!H72*Shallow_Input!I72*MAX(Shallow_Input!F72-Shallow_Input!G72,0)+Shallow_Input!M72)*Shallow_Input!J72+Shallow_Input!P72*Shallow_Input!F72+Shallow_Input!O72)/G72</x:f>
      </x:c>
      <x:c r="O72" s="16" t="e">
        <x:f>ABS(((Shallow_Input!Z72*Shallow_Input!H72*Shallow_Input!I72*MAX(Shallow_Input!F72-Shallow_Input!G72,0)+Shallow_Input!M72)*IF(B72="S",0,Shallow_Input!K72)+Shallow_Input!Q72*Shallow_Input!F72+IF(B72="S",0,Shallow_Input!N72))/G72)</x:f>
      </x:c>
      <x:c r="P72" s="16" t="e">
        <x:f>D72-2*N72</x:f>
      </x:c>
      <x:c r="Q72" s="16" t="e">
        <x:f>E72-2*O72</x:f>
      </x:c>
      <x:c r="R72" s="16" t="e">
        <x:f>MAX(P72,0.000001)</x:f>
      </x:c>
      <x:c r="S72" s="16" t="e">
        <x:f>IF(B72="S",1,MAX(Q72,0.000001))</x:f>
      </x:c>
      <x:c r="T72" s="16" t="e">
        <x:f>R72*S72</x:f>
      </x:c>
      <x:c r="U72" s="16" t="e">
        <x:f>DEGREES(ATAN(SQRT(Shallow_Input!P72^2+Shallow_Input!Q72^2)/G72))</x:f>
      </x:c>
      <x:c r="V72" s="16" t="n">
        <x:f>EXP(PI()*TAN(RADIANS(Shallow_Input!Y72)))*TAN(PI()/4+RADIANS(Shallow_Input!Y72)/2)^2</x:f>
        <x:v>0.9999999999999998</x:v>
      </x:c>
      <x:c r="W72" s="16" t="n">
        <x:f>IF(ABS(TAN(RADIANS(Shallow_Input!Y72)))&gt;0.0000001,(V72-1)/TAN(RADIANS(Shallow_Input!Y72)),5.14)</x:f>
        <x:v>5.14</x:v>
      </x:c>
      <x:c r="X72" s="16" t="n">
        <x:f>2*(V72+1)*TAN(RADIANS(Shallow_Input!Y72))</x:f>
        <x:v>0</x:v>
      </x:c>
      <x:c r="Y72" s="16" t="e">
        <x:f>IF(B72="S",1,1+R72/S72*V72/MAX(W72,0.000001))</x:f>
      </x:c>
      <x:c r="Z72" s="16" t="e">
        <x:f>IF(B72="S",1,1+R72/S72*TAN(RADIANS(Shallow_Input!Y72)))</x:f>
      </x:c>
      <x:c r="AA72" s="16" t="e">
        <x:f>IF(B72="S",1,1-0.4*R72/S72)</x:f>
      </x:c>
      <x:c r="AB72" s="16" t="e">
        <x:f>1+0.4*IF(F72/MAX(R72,0.000001)&lt;=1,F72/MAX(R72,0.000001),ATAN(F72/MAX(R72,0.000001)))</x:f>
      </x:c>
      <x:c r="AC72" s="16" t="e">
        <x:f>1+2*TAN(RADIANS(Shallow_Input!U72))*(1-SIN(RADIANS(Shallow_Input!U72)))^2*IF(F72/MAX(R72,0.000001)&lt;=1,F72/MAX(R72,0.000001),ATAN(F72/MAX(R72,0.000001)))</x:f>
      </x:c>
      <x:c r="AD72" s="16" t="n">
        <x:f>1</x:f>
        <x:v>1</x:v>
      </x:c>
      <x:c r="AE72" s="16" t="e">
        <x:f>(1-U72/90)^2</x:f>
      </x:c>
      <x:c r="AF72" s="16" t="e">
        <x:f>(1-U72/90)^2</x:f>
      </x:c>
      <x:c r="AG72" s="16" t="n">
        <x:f>IF(Shallow_Input!Y72&gt;0,(1-U72/Shallow_Input!Y72)^2,1)</x:f>
        <x:v>1</x:v>
      </x:c>
      <x:c r="AH72" s="16" t="e">
        <x:f>J72/MAX(G72,0.000001)</x:f>
      </x:c>
      <x:c r="AI72" s="16" t="e">
        <x:f>H72/MAX(L72,0.000001)</x:f>
      </x:c>
      <x:c r="AJ72" s="16" t="e">
        <x:f>IF(K72&gt;=G72,"OK","NG")</x:f>
      </x:c>
      <x:c r="AK72" s="16" t="e">
        <x:f>IF(I72&gt;=L72,"OK","NG")</x:f>
      </x:c>
      <x:c r="AL72" s="16" t="e">
        <x:f>IF(M72&gt;=0,"OK","NG")</x:f>
      </x:c>
      <x:c r="AM72" s="16" t="e">
        <x:f>IF(F72/MAX(R72,0.000001)&lt;=1,"Shallow","Deep")</x:f>
      </x:c>
    </x:row>
    <x:row r="73">
      <x:c r="A73" s="16" t="n">
        <x:f>Shallow_Input!A73</x:f>
        <x:v>0</x:v>
      </x:c>
      <x:c r="B73" s="16" t="n">
        <x:f>Shallow_Input!B73</x:f>
        <x:v>0</x:v>
      </x:c>
      <x:c r="C73" s="16" t="n">
        <x:f>Shallow_Input!C73</x:f>
        <x:v>0</x:v>
      </x:c>
      <x:c r="D73" s="16" t="n">
        <x:f>Shallow_Input!D73</x:f>
        <x:v>0</x:v>
      </x:c>
      <x:c r="E73" s="16" t="e">
        <x:f>IF(B73="S",1,Shallow_Input!E73)</x:f>
      </x:c>
      <x:c r="F73" s="16" t="n">
        <x:f>Shallow_Input!F73</x:f>
        <x:v>0</x:v>
      </x:c>
      <x:c r="G73" s="16" t="e">
        <x:f>LET(B0,D73,L0,E73,D0,F73,t,Shallow_Input!G73,Cx,Shallow_Input!H73,Cy,Shallow_Input!I73,Ox,Shallow_Input!J73,Oy,IF(B73="S",0,Shallow_Input!K73),dw,Shallow_Input!L73,Qc,Shallow_Input!M73,g1u,Shallow_Input!R73,g1sat,Shallow_Input!S73,gc,Shallow_Input!Z73,g1ave,IF(dw&gt;=D0,g1u,IF(dw&lt;=0,g1sat,(g1u*dw+g1sat*(D0-dw))/D0)),g1ave*MAX(B0*L0-Cx*Cy,0)*MAX(D0-t,0)+gc*Cx*Cy*MAX(D0-t,0)+t*B0*L0*gc+Qc)</x:f>
      </x:c>
      <x:c r="H73" s="16" t="e">
        <x:f>LET(shape,B73,B0,D73,L0,E73,D0,F73,dw,Shallow_Input!L73,g1u,Shallow_Input!R73,g1sat,Shallow_Input!S73,gw,Shallow_Input!AA73,g2u,Shallow_Input!V73,g2sat,Shallow_Input!W73,analysis,C73,c2,Shallow_Input!X73,phi1,Shallow_Input!U73,phi2,Shallow_Input!Y73,Bef,R73,Nq,V73,Nc,W73,Ny,X73,Fcs,Y73,Fqs,Z73,Fys,AA73,Fcd,AB73,Fqd,AC73,Fyd,AD73,Fci,AE73,Fqi,AF73,Fyi,AG73,g1ave,IF(dw&gt;=D0,g1u,IF(dw&lt;=0,g1sat,(g1u*dw+g1sat*(D0-dw))/D0)),g1eff,IF(dw&gt;=D0,g1u,IF(dw&lt;=0,g1sat-gw,(g1u*dw+(g1sat-gw)*(D0-dw))/D0)),g2width,IF(shape="S",B0,Bef),g2ave,IF(dw&gt;=D0+g2width,g2u,IF(dw&lt;=D0,g2sat,(g2u*(dw-D0)+g2sat*(g2width-(dw-D0)))/g2width)),g2eff,IF(dw&gt;=D0+g2width,g2u,IF(dw&lt;=D0,g2sat-gw,(g2u*(dw-D0)+(g2sat-gw)*(g2width-(dw-D0)))/g2width)),g1used,IF(analysis="T",g1ave,g1eff),g2used,IF(analysis="T",g2ave,g2eff),q,g1used*D0,c2*Nc*Fcs*Fcd*Fci+q*Nq*Fqs*Fqd*Fqi+0.5*Bef*g2used*Ny*Fys*Fyd*Fyi)</x:f>
      </x:c>
      <x:c r="I73" s="16" t="e">
        <x:f>H73/Shallow_Input!AB73</x:f>
      </x:c>
      <x:c r="J73" s="16" t="e">
        <x:f>H73*T73</x:f>
      </x:c>
      <x:c r="K73" s="16" t="e">
        <x:f>I73*T73</x:f>
      </x:c>
      <x:c r="L73" s="16" t="e">
        <x:f>G73/(D73*E73)*(1+6*N73/D73+6*O73/E73)</x:f>
      </x:c>
      <x:c r="M73" s="16" t="e">
        <x:f>G73/(D73*E73)*(1-6*N73/D73-6*O73/E73)</x:f>
      </x:c>
      <x:c r="N73" s="16" t="e">
        <x:f>ABS((Shallow_Input!Z73*Shallow_Input!H73*Shallow_Input!I73*MAX(Shallow_Input!F73-Shallow_Input!G73,0)+Shallow_Input!M73)*Shallow_Input!J73+Shallow_Input!P73*Shallow_Input!F73+Shallow_Input!O73)/G73</x:f>
      </x:c>
      <x:c r="O73" s="16" t="e">
        <x:f>ABS(((Shallow_Input!Z73*Shallow_Input!H73*Shallow_Input!I73*MAX(Shallow_Input!F73-Shallow_Input!G73,0)+Shallow_Input!M73)*IF(B73="S",0,Shallow_Input!K73)+Shallow_Input!Q73*Shallow_Input!F73+IF(B73="S",0,Shallow_Input!N73))/G73)</x:f>
      </x:c>
      <x:c r="P73" s="16" t="e">
        <x:f>D73-2*N73</x:f>
      </x:c>
      <x:c r="Q73" s="16" t="e">
        <x:f>E73-2*O73</x:f>
      </x:c>
      <x:c r="R73" s="16" t="e">
        <x:f>MAX(P73,0.000001)</x:f>
      </x:c>
      <x:c r="S73" s="16" t="e">
        <x:f>IF(B73="S",1,MAX(Q73,0.000001))</x:f>
      </x:c>
      <x:c r="T73" s="16" t="e">
        <x:f>R73*S73</x:f>
      </x:c>
      <x:c r="U73" s="16" t="e">
        <x:f>DEGREES(ATAN(SQRT(Shallow_Input!P73^2+Shallow_Input!Q73^2)/G73))</x:f>
      </x:c>
      <x:c r="V73" s="16" t="n">
        <x:f>EXP(PI()*TAN(RADIANS(Shallow_Input!Y73)))*TAN(PI()/4+RADIANS(Shallow_Input!Y73)/2)^2</x:f>
        <x:v>0.9999999999999998</x:v>
      </x:c>
      <x:c r="W73" s="16" t="n">
        <x:f>IF(ABS(TAN(RADIANS(Shallow_Input!Y73)))&gt;0.0000001,(V73-1)/TAN(RADIANS(Shallow_Input!Y73)),5.14)</x:f>
        <x:v>5.14</x:v>
      </x:c>
      <x:c r="X73" s="16" t="n">
        <x:f>2*(V73+1)*TAN(RADIANS(Shallow_Input!Y73))</x:f>
        <x:v>0</x:v>
      </x:c>
      <x:c r="Y73" s="16" t="e">
        <x:f>IF(B73="S",1,1+R73/S73*V73/MAX(W73,0.000001))</x:f>
      </x:c>
      <x:c r="Z73" s="16" t="e">
        <x:f>IF(B73="S",1,1+R73/S73*TAN(RADIANS(Shallow_Input!Y73)))</x:f>
      </x:c>
      <x:c r="AA73" s="16" t="e">
        <x:f>IF(B73="S",1,1-0.4*R73/S73)</x:f>
      </x:c>
      <x:c r="AB73" s="16" t="e">
        <x:f>1+0.4*IF(F73/MAX(R73,0.000001)&lt;=1,F73/MAX(R73,0.000001),ATAN(F73/MAX(R73,0.000001)))</x:f>
      </x:c>
      <x:c r="AC73" s="16" t="e">
        <x:f>1+2*TAN(RADIANS(Shallow_Input!U73))*(1-SIN(RADIANS(Shallow_Input!U73)))^2*IF(F73/MAX(R73,0.000001)&lt;=1,F73/MAX(R73,0.000001),ATAN(F73/MAX(R73,0.000001)))</x:f>
      </x:c>
      <x:c r="AD73" s="16" t="n">
        <x:f>1</x:f>
        <x:v>1</x:v>
      </x:c>
      <x:c r="AE73" s="16" t="e">
        <x:f>(1-U73/90)^2</x:f>
      </x:c>
      <x:c r="AF73" s="16" t="e">
        <x:f>(1-U73/90)^2</x:f>
      </x:c>
      <x:c r="AG73" s="16" t="n">
        <x:f>IF(Shallow_Input!Y73&gt;0,(1-U73/Shallow_Input!Y73)^2,1)</x:f>
        <x:v>1</x:v>
      </x:c>
      <x:c r="AH73" s="16" t="e">
        <x:f>J73/MAX(G73,0.000001)</x:f>
      </x:c>
      <x:c r="AI73" s="16" t="e">
        <x:f>H73/MAX(L73,0.000001)</x:f>
      </x:c>
      <x:c r="AJ73" s="16" t="e">
        <x:f>IF(K73&gt;=G73,"OK","NG")</x:f>
      </x:c>
      <x:c r="AK73" s="16" t="e">
        <x:f>IF(I73&gt;=L73,"OK","NG")</x:f>
      </x:c>
      <x:c r="AL73" s="16" t="e">
        <x:f>IF(M73&gt;=0,"OK","NG")</x:f>
      </x:c>
      <x:c r="AM73" s="16" t="e">
        <x:f>IF(F73/MAX(R73,0.000001)&lt;=1,"Shallow","Deep")</x:f>
      </x:c>
    </x:row>
    <x:row r="74">
      <x:c r="A74" s="16" t="n">
        <x:f>Shallow_Input!A74</x:f>
        <x:v>0</x:v>
      </x:c>
      <x:c r="B74" s="16" t="n">
        <x:f>Shallow_Input!B74</x:f>
        <x:v>0</x:v>
      </x:c>
      <x:c r="C74" s="16" t="n">
        <x:f>Shallow_Input!C74</x:f>
        <x:v>0</x:v>
      </x:c>
      <x:c r="D74" s="16" t="n">
        <x:f>Shallow_Input!D74</x:f>
        <x:v>0</x:v>
      </x:c>
      <x:c r="E74" s="16" t="e">
        <x:f>IF(B74="S",1,Shallow_Input!E74)</x:f>
      </x:c>
      <x:c r="F74" s="16" t="n">
        <x:f>Shallow_Input!F74</x:f>
        <x:v>0</x:v>
      </x:c>
      <x:c r="G74" s="16" t="e">
        <x:f>LET(B0,D74,L0,E74,D0,F74,t,Shallow_Input!G74,Cx,Shallow_Input!H74,Cy,Shallow_Input!I74,Ox,Shallow_Input!J74,Oy,IF(B74="S",0,Shallow_Input!K74),dw,Shallow_Input!L74,Qc,Shallow_Input!M74,g1u,Shallow_Input!R74,g1sat,Shallow_Input!S74,gc,Shallow_Input!Z74,g1ave,IF(dw&gt;=D0,g1u,IF(dw&lt;=0,g1sat,(g1u*dw+g1sat*(D0-dw))/D0)),g1ave*MAX(B0*L0-Cx*Cy,0)*MAX(D0-t,0)+gc*Cx*Cy*MAX(D0-t,0)+t*B0*L0*gc+Qc)</x:f>
      </x:c>
      <x:c r="H74" s="16" t="e">
        <x:f>LET(shape,B74,B0,D74,L0,E74,D0,F74,dw,Shallow_Input!L74,g1u,Shallow_Input!R74,g1sat,Shallow_Input!S74,gw,Shallow_Input!AA74,g2u,Shallow_Input!V74,g2sat,Shallow_Input!W74,analysis,C74,c2,Shallow_Input!X74,phi1,Shallow_Input!U74,phi2,Shallow_Input!Y74,Bef,R74,Nq,V74,Nc,W74,Ny,X74,Fcs,Y74,Fqs,Z74,Fys,AA74,Fcd,AB74,Fqd,AC74,Fyd,AD74,Fci,AE74,Fqi,AF74,Fyi,AG74,g1ave,IF(dw&gt;=D0,g1u,IF(dw&lt;=0,g1sat,(g1u*dw+g1sat*(D0-dw))/D0)),g1eff,IF(dw&gt;=D0,g1u,IF(dw&lt;=0,g1sat-gw,(g1u*dw+(g1sat-gw)*(D0-dw))/D0)),g2width,IF(shape="S",B0,Bef),g2ave,IF(dw&gt;=D0+g2width,g2u,IF(dw&lt;=D0,g2sat,(g2u*(dw-D0)+g2sat*(g2width-(dw-D0)))/g2width)),g2eff,IF(dw&gt;=D0+g2width,g2u,IF(dw&lt;=D0,g2sat-gw,(g2u*(dw-D0)+(g2sat-gw)*(g2width-(dw-D0)))/g2width)),g1used,IF(analysis="T",g1ave,g1eff),g2used,IF(analysis="T",g2ave,g2eff),q,g1used*D0,c2*Nc*Fcs*Fcd*Fci+q*Nq*Fqs*Fqd*Fqi+0.5*Bef*g2used*Ny*Fys*Fyd*Fyi)</x:f>
      </x:c>
      <x:c r="I74" s="16" t="e">
        <x:f>H74/Shallow_Input!AB74</x:f>
      </x:c>
      <x:c r="J74" s="16" t="e">
        <x:f>H74*T74</x:f>
      </x:c>
      <x:c r="K74" s="16" t="e">
        <x:f>I74*T74</x:f>
      </x:c>
      <x:c r="L74" s="16" t="e">
        <x:f>G74/(D74*E74)*(1+6*N74/D74+6*O74/E74)</x:f>
      </x:c>
      <x:c r="M74" s="16" t="e">
        <x:f>G74/(D74*E74)*(1-6*N74/D74-6*O74/E74)</x:f>
      </x:c>
      <x:c r="N74" s="16" t="e">
        <x:f>ABS((Shallow_Input!Z74*Shallow_Input!H74*Shallow_Input!I74*MAX(Shallow_Input!F74-Shallow_Input!G74,0)+Shallow_Input!M74)*Shallow_Input!J74+Shallow_Input!P74*Shallow_Input!F74+Shallow_Input!O74)/G74</x:f>
      </x:c>
      <x:c r="O74" s="16" t="e">
        <x:f>ABS(((Shallow_Input!Z74*Shallow_Input!H74*Shallow_Input!I74*MAX(Shallow_Input!F74-Shallow_Input!G74,0)+Shallow_Input!M74)*IF(B74="S",0,Shallow_Input!K74)+Shallow_Input!Q74*Shallow_Input!F74+IF(B74="S",0,Shallow_Input!N74))/G74)</x:f>
      </x:c>
      <x:c r="P74" s="16" t="e">
        <x:f>D74-2*N74</x:f>
      </x:c>
      <x:c r="Q74" s="16" t="e">
        <x:f>E74-2*O74</x:f>
      </x:c>
      <x:c r="R74" s="16" t="e">
        <x:f>MAX(P74,0.000001)</x:f>
      </x:c>
      <x:c r="S74" s="16" t="e">
        <x:f>IF(B74="S",1,MAX(Q74,0.000001))</x:f>
      </x:c>
      <x:c r="T74" s="16" t="e">
        <x:f>R74*S74</x:f>
      </x:c>
      <x:c r="U74" s="16" t="e">
        <x:f>DEGREES(ATAN(SQRT(Shallow_Input!P74^2+Shallow_Input!Q74^2)/G74))</x:f>
      </x:c>
      <x:c r="V74" s="16" t="n">
        <x:f>EXP(PI()*TAN(RADIANS(Shallow_Input!Y74)))*TAN(PI()/4+RADIANS(Shallow_Input!Y74)/2)^2</x:f>
        <x:v>0.9999999999999998</x:v>
      </x:c>
      <x:c r="W74" s="16" t="n">
        <x:f>IF(ABS(TAN(RADIANS(Shallow_Input!Y74)))&gt;0.0000001,(V74-1)/TAN(RADIANS(Shallow_Input!Y74)),5.14)</x:f>
        <x:v>5.14</x:v>
      </x:c>
      <x:c r="X74" s="16" t="n">
        <x:f>2*(V74+1)*TAN(RADIANS(Shallow_Input!Y74))</x:f>
        <x:v>0</x:v>
      </x:c>
      <x:c r="Y74" s="16" t="e">
        <x:f>IF(B74="S",1,1+R74/S74*V74/MAX(W74,0.000001))</x:f>
      </x:c>
      <x:c r="Z74" s="16" t="e">
        <x:f>IF(B74="S",1,1+R74/S74*TAN(RADIANS(Shallow_Input!Y74)))</x:f>
      </x:c>
      <x:c r="AA74" s="16" t="e">
        <x:f>IF(B74="S",1,1-0.4*R74/S74)</x:f>
      </x:c>
      <x:c r="AB74" s="16" t="e">
        <x:f>1+0.4*IF(F74/MAX(R74,0.000001)&lt;=1,F74/MAX(R74,0.000001),ATAN(F74/MAX(R74,0.000001)))</x:f>
      </x:c>
      <x:c r="AC74" s="16" t="e">
        <x:f>1+2*TAN(RADIANS(Shallow_Input!U74))*(1-SIN(RADIANS(Shallow_Input!U74)))^2*IF(F74/MAX(R74,0.000001)&lt;=1,F74/MAX(R74,0.000001),ATAN(F74/MAX(R74,0.000001)))</x:f>
      </x:c>
      <x:c r="AD74" s="16" t="n">
        <x:f>1</x:f>
        <x:v>1</x:v>
      </x:c>
      <x:c r="AE74" s="16" t="e">
        <x:f>(1-U74/90)^2</x:f>
      </x:c>
      <x:c r="AF74" s="16" t="e">
        <x:f>(1-U74/90)^2</x:f>
      </x:c>
      <x:c r="AG74" s="16" t="n">
        <x:f>IF(Shallow_Input!Y74&gt;0,(1-U74/Shallow_Input!Y74)^2,1)</x:f>
        <x:v>1</x:v>
      </x:c>
      <x:c r="AH74" s="16" t="e">
        <x:f>J74/MAX(G74,0.000001)</x:f>
      </x:c>
      <x:c r="AI74" s="16" t="e">
        <x:f>H74/MAX(L74,0.000001)</x:f>
      </x:c>
      <x:c r="AJ74" s="16" t="e">
        <x:f>IF(K74&gt;=G74,"OK","NG")</x:f>
      </x:c>
      <x:c r="AK74" s="16" t="e">
        <x:f>IF(I74&gt;=L74,"OK","NG")</x:f>
      </x:c>
      <x:c r="AL74" s="16" t="e">
        <x:f>IF(M74&gt;=0,"OK","NG")</x:f>
      </x:c>
      <x:c r="AM74" s="16" t="e">
        <x:f>IF(F74/MAX(R74,0.000001)&lt;=1,"Shallow","Deep")</x:f>
      </x:c>
    </x:row>
    <x:row r="75">
      <x:c r="A75" s="16" t="n">
        <x:f>Shallow_Input!A75</x:f>
        <x:v>0</x:v>
      </x:c>
      <x:c r="B75" s="16" t="n">
        <x:f>Shallow_Input!B75</x:f>
        <x:v>0</x:v>
      </x:c>
      <x:c r="C75" s="16" t="n">
        <x:f>Shallow_Input!C75</x:f>
        <x:v>0</x:v>
      </x:c>
      <x:c r="D75" s="16" t="n">
        <x:f>Shallow_Input!D75</x:f>
        <x:v>0</x:v>
      </x:c>
      <x:c r="E75" s="16" t="e">
        <x:f>IF(B75="S",1,Shallow_Input!E75)</x:f>
      </x:c>
      <x:c r="F75" s="16" t="n">
        <x:f>Shallow_Input!F75</x:f>
        <x:v>0</x:v>
      </x:c>
      <x:c r="G75" s="16" t="e">
        <x:f>LET(B0,D75,L0,E75,D0,F75,t,Shallow_Input!G75,Cx,Shallow_Input!H75,Cy,Shallow_Input!I75,Ox,Shallow_Input!J75,Oy,IF(B75="S",0,Shallow_Input!K75),dw,Shallow_Input!L75,Qc,Shallow_Input!M75,g1u,Shallow_Input!R75,g1sat,Shallow_Input!S75,gc,Shallow_Input!Z75,g1ave,IF(dw&gt;=D0,g1u,IF(dw&lt;=0,g1sat,(g1u*dw+g1sat*(D0-dw))/D0)),g1ave*MAX(B0*L0-Cx*Cy,0)*MAX(D0-t,0)+gc*Cx*Cy*MAX(D0-t,0)+t*B0*L0*gc+Qc)</x:f>
      </x:c>
      <x:c r="H75" s="16" t="e">
        <x:f>LET(shape,B75,B0,D75,L0,E75,D0,F75,dw,Shallow_Input!L75,g1u,Shallow_Input!R75,g1sat,Shallow_Input!S75,gw,Shallow_Input!AA75,g2u,Shallow_Input!V75,g2sat,Shallow_Input!W75,analysis,C75,c2,Shallow_Input!X75,phi1,Shallow_Input!U75,phi2,Shallow_Input!Y75,Bef,R75,Nq,V75,Nc,W75,Ny,X75,Fcs,Y75,Fqs,Z75,Fys,AA75,Fcd,AB75,Fqd,AC75,Fyd,AD75,Fci,AE75,Fqi,AF75,Fyi,AG75,g1ave,IF(dw&gt;=D0,g1u,IF(dw&lt;=0,g1sat,(g1u*dw+g1sat*(D0-dw))/D0)),g1eff,IF(dw&gt;=D0,g1u,IF(dw&lt;=0,g1sat-gw,(g1u*dw+(g1sat-gw)*(D0-dw))/D0)),g2width,IF(shape="S",B0,Bef),g2ave,IF(dw&gt;=D0+g2width,g2u,IF(dw&lt;=D0,g2sat,(g2u*(dw-D0)+g2sat*(g2width-(dw-D0)))/g2width)),g2eff,IF(dw&gt;=D0+g2width,g2u,IF(dw&lt;=D0,g2sat-gw,(g2u*(dw-D0)+(g2sat-gw)*(g2width-(dw-D0)))/g2width)),g1used,IF(analysis="T",g1ave,g1eff),g2used,IF(analysis="T",g2ave,g2eff),q,g1used*D0,c2*Nc*Fcs*Fcd*Fci+q*Nq*Fqs*Fqd*Fqi+0.5*Bef*g2used*Ny*Fys*Fyd*Fyi)</x:f>
      </x:c>
      <x:c r="I75" s="16" t="e">
        <x:f>H75/Shallow_Input!AB75</x:f>
      </x:c>
      <x:c r="J75" s="16" t="e">
        <x:f>H75*T75</x:f>
      </x:c>
      <x:c r="K75" s="16" t="e">
        <x:f>I75*T75</x:f>
      </x:c>
      <x:c r="L75" s="16" t="e">
        <x:f>G75/(D75*E75)*(1+6*N75/D75+6*O75/E75)</x:f>
      </x:c>
      <x:c r="M75" s="16" t="e">
        <x:f>G75/(D75*E75)*(1-6*N75/D75-6*O75/E75)</x:f>
      </x:c>
      <x:c r="N75" s="16" t="e">
        <x:f>ABS((Shallow_Input!Z75*Shallow_Input!H75*Shallow_Input!I75*MAX(Shallow_Input!F75-Shallow_Input!G75,0)+Shallow_Input!M75)*Shallow_Input!J75+Shallow_Input!P75*Shallow_Input!F75+Shallow_Input!O75)/G75</x:f>
      </x:c>
      <x:c r="O75" s="16" t="e">
        <x:f>ABS(((Shallow_Input!Z75*Shallow_Input!H75*Shallow_Input!I75*MAX(Shallow_Input!F75-Shallow_Input!G75,0)+Shallow_Input!M75)*IF(B75="S",0,Shallow_Input!K75)+Shallow_Input!Q75*Shallow_Input!F75+IF(B75="S",0,Shallow_Input!N75))/G75)</x:f>
      </x:c>
      <x:c r="P75" s="16" t="e">
        <x:f>D75-2*N75</x:f>
      </x:c>
      <x:c r="Q75" s="16" t="e">
        <x:f>E75-2*O75</x:f>
      </x:c>
      <x:c r="R75" s="16" t="e">
        <x:f>MAX(P75,0.000001)</x:f>
      </x:c>
      <x:c r="S75" s="16" t="e">
        <x:f>IF(B75="S",1,MAX(Q75,0.000001))</x:f>
      </x:c>
      <x:c r="T75" s="16" t="e">
        <x:f>R75*S75</x:f>
      </x:c>
      <x:c r="U75" s="16" t="e">
        <x:f>DEGREES(ATAN(SQRT(Shallow_Input!P75^2+Shallow_Input!Q75^2)/G75))</x:f>
      </x:c>
      <x:c r="V75" s="16" t="n">
        <x:f>EXP(PI()*TAN(RADIANS(Shallow_Input!Y75)))*TAN(PI()/4+RADIANS(Shallow_Input!Y75)/2)^2</x:f>
        <x:v>0.9999999999999998</x:v>
      </x:c>
      <x:c r="W75" s="16" t="n">
        <x:f>IF(ABS(TAN(RADIANS(Shallow_Input!Y75)))&gt;0.0000001,(V75-1)/TAN(RADIANS(Shallow_Input!Y75)),5.14)</x:f>
        <x:v>5.14</x:v>
      </x:c>
      <x:c r="X75" s="16" t="n">
        <x:f>2*(V75+1)*TAN(RADIANS(Shallow_Input!Y75))</x:f>
        <x:v>0</x:v>
      </x:c>
      <x:c r="Y75" s="16" t="e">
        <x:f>IF(B75="S",1,1+R75/S75*V75/MAX(W75,0.000001))</x:f>
      </x:c>
      <x:c r="Z75" s="16" t="e">
        <x:f>IF(B75="S",1,1+R75/S75*TAN(RADIANS(Shallow_Input!Y75)))</x:f>
      </x:c>
      <x:c r="AA75" s="16" t="e">
        <x:f>IF(B75="S",1,1-0.4*R75/S75)</x:f>
      </x:c>
      <x:c r="AB75" s="16" t="e">
        <x:f>1+0.4*IF(F75/MAX(R75,0.000001)&lt;=1,F75/MAX(R75,0.000001),ATAN(F75/MAX(R75,0.000001)))</x:f>
      </x:c>
      <x:c r="AC75" s="16" t="e">
        <x:f>1+2*TAN(RADIANS(Shallow_Input!U75))*(1-SIN(RADIANS(Shallow_Input!U75)))^2*IF(F75/MAX(R75,0.000001)&lt;=1,F75/MAX(R75,0.000001),ATAN(F75/MAX(R75,0.000001)))</x:f>
      </x:c>
      <x:c r="AD75" s="16" t="n">
        <x:f>1</x:f>
        <x:v>1</x:v>
      </x:c>
      <x:c r="AE75" s="16" t="e">
        <x:f>(1-U75/90)^2</x:f>
      </x:c>
      <x:c r="AF75" s="16" t="e">
        <x:f>(1-U75/90)^2</x:f>
      </x:c>
      <x:c r="AG75" s="16" t="n">
        <x:f>IF(Shallow_Input!Y75&gt;0,(1-U75/Shallow_Input!Y75)^2,1)</x:f>
        <x:v>1</x:v>
      </x:c>
      <x:c r="AH75" s="16" t="e">
        <x:f>J75/MAX(G75,0.000001)</x:f>
      </x:c>
      <x:c r="AI75" s="16" t="e">
        <x:f>H75/MAX(L75,0.000001)</x:f>
      </x:c>
      <x:c r="AJ75" s="16" t="e">
        <x:f>IF(K75&gt;=G75,"OK","NG")</x:f>
      </x:c>
      <x:c r="AK75" s="16" t="e">
        <x:f>IF(I75&gt;=L75,"OK","NG")</x:f>
      </x:c>
      <x:c r="AL75" s="16" t="e">
        <x:f>IF(M75&gt;=0,"OK","NG")</x:f>
      </x:c>
      <x:c r="AM75" s="16" t="e">
        <x:f>IF(F75/MAX(R75,0.000001)&lt;=1,"Shallow","Deep")</x:f>
      </x:c>
    </x:row>
    <x:row r="76">
      <x:c r="A76" s="16" t="n">
        <x:f>Shallow_Input!A76</x:f>
        <x:v>0</x:v>
      </x:c>
      <x:c r="B76" s="16" t="n">
        <x:f>Shallow_Input!B76</x:f>
        <x:v>0</x:v>
      </x:c>
      <x:c r="C76" s="16" t="n">
        <x:f>Shallow_Input!C76</x:f>
        <x:v>0</x:v>
      </x:c>
      <x:c r="D76" s="16" t="n">
        <x:f>Shallow_Input!D76</x:f>
        <x:v>0</x:v>
      </x:c>
      <x:c r="E76" s="16" t="e">
        <x:f>IF(B76="S",1,Shallow_Input!E76)</x:f>
      </x:c>
      <x:c r="F76" s="16" t="n">
        <x:f>Shallow_Input!F76</x:f>
        <x:v>0</x:v>
      </x:c>
      <x:c r="G76" s="16" t="e">
        <x:f>LET(B0,D76,L0,E76,D0,F76,t,Shallow_Input!G76,Cx,Shallow_Input!H76,Cy,Shallow_Input!I76,Ox,Shallow_Input!J76,Oy,IF(B76="S",0,Shallow_Input!K76),dw,Shallow_Input!L76,Qc,Shallow_Input!M76,g1u,Shallow_Input!R76,g1sat,Shallow_Input!S76,gc,Shallow_Input!Z76,g1ave,IF(dw&gt;=D0,g1u,IF(dw&lt;=0,g1sat,(g1u*dw+g1sat*(D0-dw))/D0)),g1ave*MAX(B0*L0-Cx*Cy,0)*MAX(D0-t,0)+gc*Cx*Cy*MAX(D0-t,0)+t*B0*L0*gc+Qc)</x:f>
      </x:c>
      <x:c r="H76" s="16" t="e">
        <x:f>LET(shape,B76,B0,D76,L0,E76,D0,F76,dw,Shallow_Input!L76,g1u,Shallow_Input!R76,g1sat,Shallow_Input!S76,gw,Shallow_Input!AA76,g2u,Shallow_Input!V76,g2sat,Shallow_Input!W76,analysis,C76,c2,Shallow_Input!X76,phi1,Shallow_Input!U76,phi2,Shallow_Input!Y76,Bef,R76,Nq,V76,Nc,W76,Ny,X76,Fcs,Y76,Fqs,Z76,Fys,AA76,Fcd,AB76,Fqd,AC76,Fyd,AD76,Fci,AE76,Fqi,AF76,Fyi,AG76,g1ave,IF(dw&gt;=D0,g1u,IF(dw&lt;=0,g1sat,(g1u*dw+g1sat*(D0-dw))/D0)),g1eff,IF(dw&gt;=D0,g1u,IF(dw&lt;=0,g1sat-gw,(g1u*dw+(g1sat-gw)*(D0-dw))/D0)),g2width,IF(shape="S",B0,Bef),g2ave,IF(dw&gt;=D0+g2width,g2u,IF(dw&lt;=D0,g2sat,(g2u*(dw-D0)+g2sat*(g2width-(dw-D0)))/g2width)),g2eff,IF(dw&gt;=D0+g2width,g2u,IF(dw&lt;=D0,g2sat-gw,(g2u*(dw-D0)+(g2sat-gw)*(g2width-(dw-D0)))/g2width)),g1used,IF(analysis="T",g1ave,g1eff),g2used,IF(analysis="T",g2ave,g2eff),q,g1used*D0,c2*Nc*Fcs*Fcd*Fci+q*Nq*Fqs*Fqd*Fqi+0.5*Bef*g2used*Ny*Fys*Fyd*Fyi)</x:f>
      </x:c>
      <x:c r="I76" s="16" t="e">
        <x:f>H76/Shallow_Input!AB76</x:f>
      </x:c>
      <x:c r="J76" s="16" t="e">
        <x:f>H76*T76</x:f>
      </x:c>
      <x:c r="K76" s="16" t="e">
        <x:f>I76*T76</x:f>
      </x:c>
      <x:c r="L76" s="16" t="e">
        <x:f>G76/(D76*E76)*(1+6*N76/D76+6*O76/E76)</x:f>
      </x:c>
      <x:c r="M76" s="16" t="e">
        <x:f>G76/(D76*E76)*(1-6*N76/D76-6*O76/E76)</x:f>
      </x:c>
      <x:c r="N76" s="16" t="e">
        <x:f>ABS((Shallow_Input!Z76*Shallow_Input!H76*Shallow_Input!I76*MAX(Shallow_Input!F76-Shallow_Input!G76,0)+Shallow_Input!M76)*Shallow_Input!J76+Shallow_Input!P76*Shallow_Input!F76+Shallow_Input!O76)/G76</x:f>
      </x:c>
      <x:c r="O76" s="16" t="e">
        <x:f>ABS(((Shallow_Input!Z76*Shallow_Input!H76*Shallow_Input!I76*MAX(Shallow_Input!F76-Shallow_Input!G76,0)+Shallow_Input!M76)*IF(B76="S",0,Shallow_Input!K76)+Shallow_Input!Q76*Shallow_Input!F76+IF(B76="S",0,Shallow_Input!N76))/G76)</x:f>
      </x:c>
      <x:c r="P76" s="16" t="e">
        <x:f>D76-2*N76</x:f>
      </x:c>
      <x:c r="Q76" s="16" t="e">
        <x:f>E76-2*O76</x:f>
      </x:c>
      <x:c r="R76" s="16" t="e">
        <x:f>MAX(P76,0.000001)</x:f>
      </x:c>
      <x:c r="S76" s="16" t="e">
        <x:f>IF(B76="S",1,MAX(Q76,0.000001))</x:f>
      </x:c>
      <x:c r="T76" s="16" t="e">
        <x:f>R76*S76</x:f>
      </x:c>
      <x:c r="U76" s="16" t="e">
        <x:f>DEGREES(ATAN(SQRT(Shallow_Input!P76^2+Shallow_Input!Q76^2)/G76))</x:f>
      </x:c>
      <x:c r="V76" s="16" t="n">
        <x:f>EXP(PI()*TAN(RADIANS(Shallow_Input!Y76)))*TAN(PI()/4+RADIANS(Shallow_Input!Y76)/2)^2</x:f>
        <x:v>0.9999999999999998</x:v>
      </x:c>
      <x:c r="W76" s="16" t="n">
        <x:f>IF(ABS(TAN(RADIANS(Shallow_Input!Y76)))&gt;0.0000001,(V76-1)/TAN(RADIANS(Shallow_Input!Y76)),5.14)</x:f>
        <x:v>5.14</x:v>
      </x:c>
      <x:c r="X76" s="16" t="n">
        <x:f>2*(V76+1)*TAN(RADIANS(Shallow_Input!Y76))</x:f>
        <x:v>0</x:v>
      </x:c>
      <x:c r="Y76" s="16" t="e">
        <x:f>IF(B76="S",1,1+R76/S76*V76/MAX(W76,0.000001))</x:f>
      </x:c>
      <x:c r="Z76" s="16" t="e">
        <x:f>IF(B76="S",1,1+R76/S76*TAN(RADIANS(Shallow_Input!Y76)))</x:f>
      </x:c>
      <x:c r="AA76" s="16" t="e">
        <x:f>IF(B76="S",1,1-0.4*R76/S76)</x:f>
      </x:c>
      <x:c r="AB76" s="16" t="e">
        <x:f>1+0.4*IF(F76/MAX(R76,0.000001)&lt;=1,F76/MAX(R76,0.000001),ATAN(F76/MAX(R76,0.000001)))</x:f>
      </x:c>
      <x:c r="AC76" s="16" t="e">
        <x:f>1+2*TAN(RADIANS(Shallow_Input!U76))*(1-SIN(RADIANS(Shallow_Input!U76)))^2*IF(F76/MAX(R76,0.000001)&lt;=1,F76/MAX(R76,0.000001),ATAN(F76/MAX(R76,0.000001)))</x:f>
      </x:c>
      <x:c r="AD76" s="16" t="n">
        <x:f>1</x:f>
        <x:v>1</x:v>
      </x:c>
      <x:c r="AE76" s="16" t="e">
        <x:f>(1-U76/90)^2</x:f>
      </x:c>
      <x:c r="AF76" s="16" t="e">
        <x:f>(1-U76/90)^2</x:f>
      </x:c>
      <x:c r="AG76" s="16" t="n">
        <x:f>IF(Shallow_Input!Y76&gt;0,(1-U76/Shallow_Input!Y76)^2,1)</x:f>
        <x:v>1</x:v>
      </x:c>
      <x:c r="AH76" s="16" t="e">
        <x:f>J76/MAX(G76,0.000001)</x:f>
      </x:c>
      <x:c r="AI76" s="16" t="e">
        <x:f>H76/MAX(L76,0.000001)</x:f>
      </x:c>
      <x:c r="AJ76" s="16" t="e">
        <x:f>IF(K76&gt;=G76,"OK","NG")</x:f>
      </x:c>
      <x:c r="AK76" s="16" t="e">
        <x:f>IF(I76&gt;=L76,"OK","NG")</x:f>
      </x:c>
      <x:c r="AL76" s="16" t="e">
        <x:f>IF(M76&gt;=0,"OK","NG")</x:f>
      </x:c>
      <x:c r="AM76" s="16" t="e">
        <x:f>IF(F76/MAX(R76,0.000001)&lt;=1,"Shallow","Deep")</x:f>
      </x:c>
    </x:row>
    <x:row r="77">
      <x:c r="A77" s="16" t="n">
        <x:f>Shallow_Input!A77</x:f>
        <x:v>0</x:v>
      </x:c>
      <x:c r="B77" s="16" t="n">
        <x:f>Shallow_Input!B77</x:f>
        <x:v>0</x:v>
      </x:c>
      <x:c r="C77" s="16" t="n">
        <x:f>Shallow_Input!C77</x:f>
        <x:v>0</x:v>
      </x:c>
      <x:c r="D77" s="16" t="n">
        <x:f>Shallow_Input!D77</x:f>
        <x:v>0</x:v>
      </x:c>
      <x:c r="E77" s="16" t="e">
        <x:f>IF(B77="S",1,Shallow_Input!E77)</x:f>
      </x:c>
      <x:c r="F77" s="16" t="n">
        <x:f>Shallow_Input!F77</x:f>
        <x:v>0</x:v>
      </x:c>
      <x:c r="G77" s="16" t="e">
        <x:f>LET(B0,D77,L0,E77,D0,F77,t,Shallow_Input!G77,Cx,Shallow_Input!H77,Cy,Shallow_Input!I77,Ox,Shallow_Input!J77,Oy,IF(B77="S",0,Shallow_Input!K77),dw,Shallow_Input!L77,Qc,Shallow_Input!M77,g1u,Shallow_Input!R77,g1sat,Shallow_Input!S77,gc,Shallow_Input!Z77,g1ave,IF(dw&gt;=D0,g1u,IF(dw&lt;=0,g1sat,(g1u*dw+g1sat*(D0-dw))/D0)),g1ave*MAX(B0*L0-Cx*Cy,0)*MAX(D0-t,0)+gc*Cx*Cy*MAX(D0-t,0)+t*B0*L0*gc+Qc)</x:f>
      </x:c>
      <x:c r="H77" s="16" t="e">
        <x:f>LET(shape,B77,B0,D77,L0,E77,D0,F77,dw,Shallow_Input!L77,g1u,Shallow_Input!R77,g1sat,Shallow_Input!S77,gw,Shallow_Input!AA77,g2u,Shallow_Input!V77,g2sat,Shallow_Input!W77,analysis,C77,c2,Shallow_Input!X77,phi1,Shallow_Input!U77,phi2,Shallow_Input!Y77,Bef,R77,Nq,V77,Nc,W77,Ny,X77,Fcs,Y77,Fqs,Z77,Fys,AA77,Fcd,AB77,Fqd,AC77,Fyd,AD77,Fci,AE77,Fqi,AF77,Fyi,AG77,g1ave,IF(dw&gt;=D0,g1u,IF(dw&lt;=0,g1sat,(g1u*dw+g1sat*(D0-dw))/D0)),g1eff,IF(dw&gt;=D0,g1u,IF(dw&lt;=0,g1sat-gw,(g1u*dw+(g1sat-gw)*(D0-dw))/D0)),g2width,IF(shape="S",B0,Bef),g2ave,IF(dw&gt;=D0+g2width,g2u,IF(dw&lt;=D0,g2sat,(g2u*(dw-D0)+g2sat*(g2width-(dw-D0)))/g2width)),g2eff,IF(dw&gt;=D0+g2width,g2u,IF(dw&lt;=D0,g2sat-gw,(g2u*(dw-D0)+(g2sat-gw)*(g2width-(dw-D0)))/g2width)),g1used,IF(analysis="T",g1ave,g1eff),g2used,IF(analysis="T",g2ave,g2eff),q,g1used*D0,c2*Nc*Fcs*Fcd*Fci+q*Nq*Fqs*Fqd*Fqi+0.5*Bef*g2used*Ny*Fys*Fyd*Fyi)</x:f>
      </x:c>
      <x:c r="I77" s="16" t="e">
        <x:f>H77/Shallow_Input!AB77</x:f>
      </x:c>
      <x:c r="J77" s="16" t="e">
        <x:f>H77*T77</x:f>
      </x:c>
      <x:c r="K77" s="16" t="e">
        <x:f>I77*T77</x:f>
      </x:c>
      <x:c r="L77" s="16" t="e">
        <x:f>G77/(D77*E77)*(1+6*N77/D77+6*O77/E77)</x:f>
      </x:c>
      <x:c r="M77" s="16" t="e">
        <x:f>G77/(D77*E77)*(1-6*N77/D77-6*O77/E77)</x:f>
      </x:c>
      <x:c r="N77" s="16" t="e">
        <x:f>ABS((Shallow_Input!Z77*Shallow_Input!H77*Shallow_Input!I77*MAX(Shallow_Input!F77-Shallow_Input!G77,0)+Shallow_Input!M77)*Shallow_Input!J77+Shallow_Input!P77*Shallow_Input!F77+Shallow_Input!O77)/G77</x:f>
      </x:c>
      <x:c r="O77" s="16" t="e">
        <x:f>ABS(((Shallow_Input!Z77*Shallow_Input!H77*Shallow_Input!I77*MAX(Shallow_Input!F77-Shallow_Input!G77,0)+Shallow_Input!M77)*IF(B77="S",0,Shallow_Input!K77)+Shallow_Input!Q77*Shallow_Input!F77+IF(B77="S",0,Shallow_Input!N77))/G77)</x:f>
      </x:c>
      <x:c r="P77" s="16" t="e">
        <x:f>D77-2*N77</x:f>
      </x:c>
      <x:c r="Q77" s="16" t="e">
        <x:f>E77-2*O77</x:f>
      </x:c>
      <x:c r="R77" s="16" t="e">
        <x:f>MAX(P77,0.000001)</x:f>
      </x:c>
      <x:c r="S77" s="16" t="e">
        <x:f>IF(B77="S",1,MAX(Q77,0.000001))</x:f>
      </x:c>
      <x:c r="T77" s="16" t="e">
        <x:f>R77*S77</x:f>
      </x:c>
      <x:c r="U77" s="16" t="e">
        <x:f>DEGREES(ATAN(SQRT(Shallow_Input!P77^2+Shallow_Input!Q77^2)/G77))</x:f>
      </x:c>
      <x:c r="V77" s="16" t="n">
        <x:f>EXP(PI()*TAN(RADIANS(Shallow_Input!Y77)))*TAN(PI()/4+RADIANS(Shallow_Input!Y77)/2)^2</x:f>
        <x:v>0.9999999999999998</x:v>
      </x:c>
      <x:c r="W77" s="16" t="n">
        <x:f>IF(ABS(TAN(RADIANS(Shallow_Input!Y77)))&gt;0.0000001,(V77-1)/TAN(RADIANS(Shallow_Input!Y77)),5.14)</x:f>
        <x:v>5.14</x:v>
      </x:c>
      <x:c r="X77" s="16" t="n">
        <x:f>2*(V77+1)*TAN(RADIANS(Shallow_Input!Y77))</x:f>
        <x:v>0</x:v>
      </x:c>
      <x:c r="Y77" s="16" t="e">
        <x:f>IF(B77="S",1,1+R77/S77*V77/MAX(W77,0.000001))</x:f>
      </x:c>
      <x:c r="Z77" s="16" t="e">
        <x:f>IF(B77="S",1,1+R77/S77*TAN(RADIANS(Shallow_Input!Y77)))</x:f>
      </x:c>
      <x:c r="AA77" s="16" t="e">
        <x:f>IF(B77="S",1,1-0.4*R77/S77)</x:f>
      </x:c>
      <x:c r="AB77" s="16" t="e">
        <x:f>1+0.4*IF(F77/MAX(R77,0.000001)&lt;=1,F77/MAX(R77,0.000001),ATAN(F77/MAX(R77,0.000001)))</x:f>
      </x:c>
      <x:c r="AC77" s="16" t="e">
        <x:f>1+2*TAN(RADIANS(Shallow_Input!U77))*(1-SIN(RADIANS(Shallow_Input!U77)))^2*IF(F77/MAX(R77,0.000001)&lt;=1,F77/MAX(R77,0.000001),ATAN(F77/MAX(R77,0.000001)))</x:f>
      </x:c>
      <x:c r="AD77" s="16" t="n">
        <x:f>1</x:f>
        <x:v>1</x:v>
      </x:c>
      <x:c r="AE77" s="16" t="e">
        <x:f>(1-U77/90)^2</x:f>
      </x:c>
      <x:c r="AF77" s="16" t="e">
        <x:f>(1-U77/90)^2</x:f>
      </x:c>
      <x:c r="AG77" s="16" t="n">
        <x:f>IF(Shallow_Input!Y77&gt;0,(1-U77/Shallow_Input!Y77)^2,1)</x:f>
        <x:v>1</x:v>
      </x:c>
      <x:c r="AH77" s="16" t="e">
        <x:f>J77/MAX(G77,0.000001)</x:f>
      </x:c>
      <x:c r="AI77" s="16" t="e">
        <x:f>H77/MAX(L77,0.000001)</x:f>
      </x:c>
      <x:c r="AJ77" s="16" t="e">
        <x:f>IF(K77&gt;=G77,"OK","NG")</x:f>
      </x:c>
      <x:c r="AK77" s="16" t="e">
        <x:f>IF(I77&gt;=L77,"OK","NG")</x:f>
      </x:c>
      <x:c r="AL77" s="16" t="e">
        <x:f>IF(M77&gt;=0,"OK","NG")</x:f>
      </x:c>
      <x:c r="AM77" s="16" t="e">
        <x:f>IF(F77/MAX(R77,0.000001)&lt;=1,"Shallow","Deep")</x:f>
      </x:c>
    </x:row>
    <x:row r="78">
      <x:c r="A78" s="16" t="n">
        <x:f>Shallow_Input!A78</x:f>
        <x:v>0</x:v>
      </x:c>
      <x:c r="B78" s="16" t="n">
        <x:f>Shallow_Input!B78</x:f>
        <x:v>0</x:v>
      </x:c>
      <x:c r="C78" s="16" t="n">
        <x:f>Shallow_Input!C78</x:f>
        <x:v>0</x:v>
      </x:c>
      <x:c r="D78" s="16" t="n">
        <x:f>Shallow_Input!D78</x:f>
        <x:v>0</x:v>
      </x:c>
      <x:c r="E78" s="16" t="e">
        <x:f>IF(B78="S",1,Shallow_Input!E78)</x:f>
      </x:c>
      <x:c r="F78" s="16" t="n">
        <x:f>Shallow_Input!F78</x:f>
        <x:v>0</x:v>
      </x:c>
      <x:c r="G78" s="16" t="e">
        <x:f>LET(B0,D78,L0,E78,D0,F78,t,Shallow_Input!G78,Cx,Shallow_Input!H78,Cy,Shallow_Input!I78,Ox,Shallow_Input!J78,Oy,IF(B78="S",0,Shallow_Input!K78),dw,Shallow_Input!L78,Qc,Shallow_Input!M78,g1u,Shallow_Input!R78,g1sat,Shallow_Input!S78,gc,Shallow_Input!Z78,g1ave,IF(dw&gt;=D0,g1u,IF(dw&lt;=0,g1sat,(g1u*dw+g1sat*(D0-dw))/D0)),g1ave*MAX(B0*L0-Cx*Cy,0)*MAX(D0-t,0)+gc*Cx*Cy*MAX(D0-t,0)+t*B0*L0*gc+Qc)</x:f>
      </x:c>
      <x:c r="H78" s="16" t="e">
        <x:f>LET(shape,B78,B0,D78,L0,E78,D0,F78,dw,Shallow_Input!L78,g1u,Shallow_Input!R78,g1sat,Shallow_Input!S78,gw,Shallow_Input!AA78,g2u,Shallow_Input!V78,g2sat,Shallow_Input!W78,analysis,C78,c2,Shallow_Input!X78,phi1,Shallow_Input!U78,phi2,Shallow_Input!Y78,Bef,R78,Nq,V78,Nc,W78,Ny,X78,Fcs,Y78,Fqs,Z78,Fys,AA78,Fcd,AB78,Fqd,AC78,Fyd,AD78,Fci,AE78,Fqi,AF78,Fyi,AG78,g1ave,IF(dw&gt;=D0,g1u,IF(dw&lt;=0,g1sat,(g1u*dw+g1sat*(D0-dw))/D0)),g1eff,IF(dw&gt;=D0,g1u,IF(dw&lt;=0,g1sat-gw,(g1u*dw+(g1sat-gw)*(D0-dw))/D0)),g2width,IF(shape="S",B0,Bef),g2ave,IF(dw&gt;=D0+g2width,g2u,IF(dw&lt;=D0,g2sat,(g2u*(dw-D0)+g2sat*(g2width-(dw-D0)))/g2width)),g2eff,IF(dw&gt;=D0+g2width,g2u,IF(dw&lt;=D0,g2sat-gw,(g2u*(dw-D0)+(g2sat-gw)*(g2width-(dw-D0)))/g2width)),g1used,IF(analysis="T",g1ave,g1eff),g2used,IF(analysis="T",g2ave,g2eff),q,g1used*D0,c2*Nc*Fcs*Fcd*Fci+q*Nq*Fqs*Fqd*Fqi+0.5*Bef*g2used*Ny*Fys*Fyd*Fyi)</x:f>
      </x:c>
      <x:c r="I78" s="16" t="e">
        <x:f>H78/Shallow_Input!AB78</x:f>
      </x:c>
      <x:c r="J78" s="16" t="e">
        <x:f>H78*T78</x:f>
      </x:c>
      <x:c r="K78" s="16" t="e">
        <x:f>I78*T78</x:f>
      </x:c>
      <x:c r="L78" s="16" t="e">
        <x:f>G78/(D78*E78)*(1+6*N78/D78+6*O78/E78)</x:f>
      </x:c>
      <x:c r="M78" s="16" t="e">
        <x:f>G78/(D78*E78)*(1-6*N78/D78-6*O78/E78)</x:f>
      </x:c>
      <x:c r="N78" s="16" t="e">
        <x:f>ABS((Shallow_Input!Z78*Shallow_Input!H78*Shallow_Input!I78*MAX(Shallow_Input!F78-Shallow_Input!G78,0)+Shallow_Input!M78)*Shallow_Input!J78+Shallow_Input!P78*Shallow_Input!F78+Shallow_Input!O78)/G78</x:f>
      </x:c>
      <x:c r="O78" s="16" t="e">
        <x:f>ABS(((Shallow_Input!Z78*Shallow_Input!H78*Shallow_Input!I78*MAX(Shallow_Input!F78-Shallow_Input!G78,0)+Shallow_Input!M78)*IF(B78="S",0,Shallow_Input!K78)+Shallow_Input!Q78*Shallow_Input!F78+IF(B78="S",0,Shallow_Input!N78))/G78)</x:f>
      </x:c>
      <x:c r="P78" s="16" t="e">
        <x:f>D78-2*N78</x:f>
      </x:c>
      <x:c r="Q78" s="16" t="e">
        <x:f>E78-2*O78</x:f>
      </x:c>
      <x:c r="R78" s="16" t="e">
        <x:f>MAX(P78,0.000001)</x:f>
      </x:c>
      <x:c r="S78" s="16" t="e">
        <x:f>IF(B78="S",1,MAX(Q78,0.000001))</x:f>
      </x:c>
      <x:c r="T78" s="16" t="e">
        <x:f>R78*S78</x:f>
      </x:c>
      <x:c r="U78" s="16" t="e">
        <x:f>DEGREES(ATAN(SQRT(Shallow_Input!P78^2+Shallow_Input!Q78^2)/G78))</x:f>
      </x:c>
      <x:c r="V78" s="16" t="n">
        <x:f>EXP(PI()*TAN(RADIANS(Shallow_Input!Y78)))*TAN(PI()/4+RADIANS(Shallow_Input!Y78)/2)^2</x:f>
        <x:v>0.9999999999999998</x:v>
      </x:c>
      <x:c r="W78" s="16" t="n">
        <x:f>IF(ABS(TAN(RADIANS(Shallow_Input!Y78)))&gt;0.0000001,(V78-1)/TAN(RADIANS(Shallow_Input!Y78)),5.14)</x:f>
        <x:v>5.14</x:v>
      </x:c>
      <x:c r="X78" s="16" t="n">
        <x:f>2*(V78+1)*TAN(RADIANS(Shallow_Input!Y78))</x:f>
        <x:v>0</x:v>
      </x:c>
      <x:c r="Y78" s="16" t="e">
        <x:f>IF(B78="S",1,1+R78/S78*V78/MAX(W78,0.000001))</x:f>
      </x:c>
      <x:c r="Z78" s="16" t="e">
        <x:f>IF(B78="S",1,1+R78/S78*TAN(RADIANS(Shallow_Input!Y78)))</x:f>
      </x:c>
      <x:c r="AA78" s="16" t="e">
        <x:f>IF(B78="S",1,1-0.4*R78/S78)</x:f>
      </x:c>
      <x:c r="AB78" s="16" t="e">
        <x:f>1+0.4*IF(F78/MAX(R78,0.000001)&lt;=1,F78/MAX(R78,0.000001),ATAN(F78/MAX(R78,0.000001)))</x:f>
      </x:c>
      <x:c r="AC78" s="16" t="e">
        <x:f>1+2*TAN(RADIANS(Shallow_Input!U78))*(1-SIN(RADIANS(Shallow_Input!U78)))^2*IF(F78/MAX(R78,0.000001)&lt;=1,F78/MAX(R78,0.000001),ATAN(F78/MAX(R78,0.000001)))</x:f>
      </x:c>
      <x:c r="AD78" s="16" t="n">
        <x:f>1</x:f>
        <x:v>1</x:v>
      </x:c>
      <x:c r="AE78" s="16" t="e">
        <x:f>(1-U78/90)^2</x:f>
      </x:c>
      <x:c r="AF78" s="16" t="e">
        <x:f>(1-U78/90)^2</x:f>
      </x:c>
      <x:c r="AG78" s="16" t="n">
        <x:f>IF(Shallow_Input!Y78&gt;0,(1-U78/Shallow_Input!Y78)^2,1)</x:f>
        <x:v>1</x:v>
      </x:c>
      <x:c r="AH78" s="16" t="e">
        <x:f>J78/MAX(G78,0.000001)</x:f>
      </x:c>
      <x:c r="AI78" s="16" t="e">
        <x:f>H78/MAX(L78,0.000001)</x:f>
      </x:c>
      <x:c r="AJ78" s="16" t="e">
        <x:f>IF(K78&gt;=G78,"OK","NG")</x:f>
      </x:c>
      <x:c r="AK78" s="16" t="e">
        <x:f>IF(I78&gt;=L78,"OK","NG")</x:f>
      </x:c>
      <x:c r="AL78" s="16" t="e">
        <x:f>IF(M78&gt;=0,"OK","NG")</x:f>
      </x:c>
      <x:c r="AM78" s="16" t="e">
        <x:f>IF(F78/MAX(R78,0.000001)&lt;=1,"Shallow","Deep")</x:f>
      </x:c>
    </x:row>
    <x:row r="79">
      <x:c r="A79" s="16" t="n">
        <x:f>Shallow_Input!A79</x:f>
        <x:v>0</x:v>
      </x:c>
      <x:c r="B79" s="16" t="n">
        <x:f>Shallow_Input!B79</x:f>
        <x:v>0</x:v>
      </x:c>
      <x:c r="C79" s="16" t="n">
        <x:f>Shallow_Input!C79</x:f>
        <x:v>0</x:v>
      </x:c>
      <x:c r="D79" s="16" t="n">
        <x:f>Shallow_Input!D79</x:f>
        <x:v>0</x:v>
      </x:c>
      <x:c r="E79" s="16" t="e">
        <x:f>IF(B79="S",1,Shallow_Input!E79)</x:f>
      </x:c>
      <x:c r="F79" s="16" t="n">
        <x:f>Shallow_Input!F79</x:f>
        <x:v>0</x:v>
      </x:c>
      <x:c r="G79" s="16" t="e">
        <x:f>LET(B0,D79,L0,E79,D0,F79,t,Shallow_Input!G79,Cx,Shallow_Input!H79,Cy,Shallow_Input!I79,Ox,Shallow_Input!J79,Oy,IF(B79="S",0,Shallow_Input!K79),dw,Shallow_Input!L79,Qc,Shallow_Input!M79,g1u,Shallow_Input!R79,g1sat,Shallow_Input!S79,gc,Shallow_Input!Z79,g1ave,IF(dw&gt;=D0,g1u,IF(dw&lt;=0,g1sat,(g1u*dw+g1sat*(D0-dw))/D0)),g1ave*MAX(B0*L0-Cx*Cy,0)*MAX(D0-t,0)+gc*Cx*Cy*MAX(D0-t,0)+t*B0*L0*gc+Qc)</x:f>
      </x:c>
      <x:c r="H79" s="16" t="e">
        <x:f>LET(shape,B79,B0,D79,L0,E79,D0,F79,dw,Shallow_Input!L79,g1u,Shallow_Input!R79,g1sat,Shallow_Input!S79,gw,Shallow_Input!AA79,g2u,Shallow_Input!V79,g2sat,Shallow_Input!W79,analysis,C79,c2,Shallow_Input!X79,phi1,Shallow_Input!U79,phi2,Shallow_Input!Y79,Bef,R79,Nq,V79,Nc,W79,Ny,X79,Fcs,Y79,Fqs,Z79,Fys,AA79,Fcd,AB79,Fqd,AC79,Fyd,AD79,Fci,AE79,Fqi,AF79,Fyi,AG79,g1ave,IF(dw&gt;=D0,g1u,IF(dw&lt;=0,g1sat,(g1u*dw+g1sat*(D0-dw))/D0)),g1eff,IF(dw&gt;=D0,g1u,IF(dw&lt;=0,g1sat-gw,(g1u*dw+(g1sat-gw)*(D0-dw))/D0)),g2width,IF(shape="S",B0,Bef),g2ave,IF(dw&gt;=D0+g2width,g2u,IF(dw&lt;=D0,g2sat,(g2u*(dw-D0)+g2sat*(g2width-(dw-D0)))/g2width)),g2eff,IF(dw&gt;=D0+g2width,g2u,IF(dw&lt;=D0,g2sat-gw,(g2u*(dw-D0)+(g2sat-gw)*(g2width-(dw-D0)))/g2width)),g1used,IF(analysis="T",g1ave,g1eff),g2used,IF(analysis="T",g2ave,g2eff),q,g1used*D0,c2*Nc*Fcs*Fcd*Fci+q*Nq*Fqs*Fqd*Fqi+0.5*Bef*g2used*Ny*Fys*Fyd*Fyi)</x:f>
      </x:c>
      <x:c r="I79" s="16" t="e">
        <x:f>H79/Shallow_Input!AB79</x:f>
      </x:c>
      <x:c r="J79" s="16" t="e">
        <x:f>H79*T79</x:f>
      </x:c>
      <x:c r="K79" s="16" t="e">
        <x:f>I79*T79</x:f>
      </x:c>
      <x:c r="L79" s="16" t="e">
        <x:f>G79/(D79*E79)*(1+6*N79/D79+6*O79/E79)</x:f>
      </x:c>
      <x:c r="M79" s="16" t="e">
        <x:f>G79/(D79*E79)*(1-6*N79/D79-6*O79/E79)</x:f>
      </x:c>
      <x:c r="N79" s="16" t="e">
        <x:f>ABS((Shallow_Input!Z79*Shallow_Input!H79*Shallow_Input!I79*MAX(Shallow_Input!F79-Shallow_Input!G79,0)+Shallow_Input!M79)*Shallow_Input!J79+Shallow_Input!P79*Shallow_Input!F79+Shallow_Input!O79)/G79</x:f>
      </x:c>
      <x:c r="O79" s="16" t="e">
        <x:f>ABS(((Shallow_Input!Z79*Shallow_Input!H79*Shallow_Input!I79*MAX(Shallow_Input!F79-Shallow_Input!G79,0)+Shallow_Input!M79)*IF(B79="S",0,Shallow_Input!K79)+Shallow_Input!Q79*Shallow_Input!F79+IF(B79="S",0,Shallow_Input!N79))/G79)</x:f>
      </x:c>
      <x:c r="P79" s="16" t="e">
        <x:f>D79-2*N79</x:f>
      </x:c>
      <x:c r="Q79" s="16" t="e">
        <x:f>E79-2*O79</x:f>
      </x:c>
      <x:c r="R79" s="16" t="e">
        <x:f>MAX(P79,0.000001)</x:f>
      </x:c>
      <x:c r="S79" s="16" t="e">
        <x:f>IF(B79="S",1,MAX(Q79,0.000001))</x:f>
      </x:c>
      <x:c r="T79" s="16" t="e">
        <x:f>R79*S79</x:f>
      </x:c>
      <x:c r="U79" s="16" t="e">
        <x:f>DEGREES(ATAN(SQRT(Shallow_Input!P79^2+Shallow_Input!Q79^2)/G79))</x:f>
      </x:c>
      <x:c r="V79" s="16" t="n">
        <x:f>EXP(PI()*TAN(RADIANS(Shallow_Input!Y79)))*TAN(PI()/4+RADIANS(Shallow_Input!Y79)/2)^2</x:f>
        <x:v>0.9999999999999998</x:v>
      </x:c>
      <x:c r="W79" s="16" t="n">
        <x:f>IF(ABS(TAN(RADIANS(Shallow_Input!Y79)))&gt;0.0000001,(V79-1)/TAN(RADIANS(Shallow_Input!Y79)),5.14)</x:f>
        <x:v>5.14</x:v>
      </x:c>
      <x:c r="X79" s="16" t="n">
        <x:f>2*(V79+1)*TAN(RADIANS(Shallow_Input!Y79))</x:f>
        <x:v>0</x:v>
      </x:c>
      <x:c r="Y79" s="16" t="e">
        <x:f>IF(B79="S",1,1+R79/S79*V79/MAX(W79,0.000001))</x:f>
      </x:c>
      <x:c r="Z79" s="16" t="e">
        <x:f>IF(B79="S",1,1+R79/S79*TAN(RADIANS(Shallow_Input!Y79)))</x:f>
      </x:c>
      <x:c r="AA79" s="16" t="e">
        <x:f>IF(B79="S",1,1-0.4*R79/S79)</x:f>
      </x:c>
      <x:c r="AB79" s="16" t="e">
        <x:f>1+0.4*IF(F79/MAX(R79,0.000001)&lt;=1,F79/MAX(R79,0.000001),ATAN(F79/MAX(R79,0.000001)))</x:f>
      </x:c>
      <x:c r="AC79" s="16" t="e">
        <x:f>1+2*TAN(RADIANS(Shallow_Input!U79))*(1-SIN(RADIANS(Shallow_Input!U79)))^2*IF(F79/MAX(R79,0.000001)&lt;=1,F79/MAX(R79,0.000001),ATAN(F79/MAX(R79,0.000001)))</x:f>
      </x:c>
      <x:c r="AD79" s="16" t="n">
        <x:f>1</x:f>
        <x:v>1</x:v>
      </x:c>
      <x:c r="AE79" s="16" t="e">
        <x:f>(1-U79/90)^2</x:f>
      </x:c>
      <x:c r="AF79" s="16" t="e">
        <x:f>(1-U79/90)^2</x:f>
      </x:c>
      <x:c r="AG79" s="16" t="n">
        <x:f>IF(Shallow_Input!Y79&gt;0,(1-U79/Shallow_Input!Y79)^2,1)</x:f>
        <x:v>1</x:v>
      </x:c>
      <x:c r="AH79" s="16" t="e">
        <x:f>J79/MAX(G79,0.000001)</x:f>
      </x:c>
      <x:c r="AI79" s="16" t="e">
        <x:f>H79/MAX(L79,0.000001)</x:f>
      </x:c>
      <x:c r="AJ79" s="16" t="e">
        <x:f>IF(K79&gt;=G79,"OK","NG")</x:f>
      </x:c>
      <x:c r="AK79" s="16" t="e">
        <x:f>IF(I79&gt;=L79,"OK","NG")</x:f>
      </x:c>
      <x:c r="AL79" s="16" t="e">
        <x:f>IF(M79&gt;=0,"OK","NG")</x:f>
      </x:c>
      <x:c r="AM79" s="16" t="e">
        <x:f>IF(F79/MAX(R79,0.000001)&lt;=1,"Shallow","Deep")</x:f>
      </x:c>
    </x:row>
    <x:row r="80">
      <x:c r="A80" s="16" t="n">
        <x:f>Shallow_Input!A80</x:f>
        <x:v>0</x:v>
      </x:c>
      <x:c r="B80" s="16" t="n">
        <x:f>Shallow_Input!B80</x:f>
        <x:v>0</x:v>
      </x:c>
      <x:c r="C80" s="16" t="n">
        <x:f>Shallow_Input!C80</x:f>
        <x:v>0</x:v>
      </x:c>
      <x:c r="D80" s="16" t="n">
        <x:f>Shallow_Input!D80</x:f>
        <x:v>0</x:v>
      </x:c>
      <x:c r="E80" s="16" t="e">
        <x:f>IF(B80="S",1,Shallow_Input!E80)</x:f>
      </x:c>
      <x:c r="F80" s="16" t="n">
        <x:f>Shallow_Input!F80</x:f>
        <x:v>0</x:v>
      </x:c>
      <x:c r="G80" s="16" t="e">
        <x:f>LET(B0,D80,L0,E80,D0,F80,t,Shallow_Input!G80,Cx,Shallow_Input!H80,Cy,Shallow_Input!I80,Ox,Shallow_Input!J80,Oy,IF(B80="S",0,Shallow_Input!K80),dw,Shallow_Input!L80,Qc,Shallow_Input!M80,g1u,Shallow_Input!R80,g1sat,Shallow_Input!S80,gc,Shallow_Input!Z80,g1ave,IF(dw&gt;=D0,g1u,IF(dw&lt;=0,g1sat,(g1u*dw+g1sat*(D0-dw))/D0)),g1ave*MAX(B0*L0-Cx*Cy,0)*MAX(D0-t,0)+gc*Cx*Cy*MAX(D0-t,0)+t*B0*L0*gc+Qc)</x:f>
      </x:c>
      <x:c r="H80" s="16" t="e">
        <x:f>LET(shape,B80,B0,D80,L0,E80,D0,F80,dw,Shallow_Input!L80,g1u,Shallow_Input!R80,g1sat,Shallow_Input!S80,gw,Shallow_Input!AA80,g2u,Shallow_Input!V80,g2sat,Shallow_Input!W80,analysis,C80,c2,Shallow_Input!X80,phi1,Shallow_Input!U80,phi2,Shallow_Input!Y80,Bef,R80,Nq,V80,Nc,W80,Ny,X80,Fcs,Y80,Fqs,Z80,Fys,AA80,Fcd,AB80,Fqd,AC80,Fyd,AD80,Fci,AE80,Fqi,AF80,Fyi,AG80,g1ave,IF(dw&gt;=D0,g1u,IF(dw&lt;=0,g1sat,(g1u*dw+g1sat*(D0-dw))/D0)),g1eff,IF(dw&gt;=D0,g1u,IF(dw&lt;=0,g1sat-gw,(g1u*dw+(g1sat-gw)*(D0-dw))/D0)),g2width,IF(shape="S",B0,Bef),g2ave,IF(dw&gt;=D0+g2width,g2u,IF(dw&lt;=D0,g2sat,(g2u*(dw-D0)+g2sat*(g2width-(dw-D0)))/g2width)),g2eff,IF(dw&gt;=D0+g2width,g2u,IF(dw&lt;=D0,g2sat-gw,(g2u*(dw-D0)+(g2sat-gw)*(g2width-(dw-D0)))/g2width)),g1used,IF(analysis="T",g1ave,g1eff),g2used,IF(analysis="T",g2ave,g2eff),q,g1used*D0,c2*Nc*Fcs*Fcd*Fci+q*Nq*Fqs*Fqd*Fqi+0.5*Bef*g2used*Ny*Fys*Fyd*Fyi)</x:f>
      </x:c>
      <x:c r="I80" s="16" t="e">
        <x:f>H80/Shallow_Input!AB80</x:f>
      </x:c>
      <x:c r="J80" s="16" t="e">
        <x:f>H80*T80</x:f>
      </x:c>
      <x:c r="K80" s="16" t="e">
        <x:f>I80*T80</x:f>
      </x:c>
      <x:c r="L80" s="16" t="e">
        <x:f>G80/(D80*E80)*(1+6*N80/D80+6*O80/E80)</x:f>
      </x:c>
      <x:c r="M80" s="16" t="e">
        <x:f>G80/(D80*E80)*(1-6*N80/D80-6*O80/E80)</x:f>
      </x:c>
      <x:c r="N80" s="16" t="e">
        <x:f>ABS((Shallow_Input!Z80*Shallow_Input!H80*Shallow_Input!I80*MAX(Shallow_Input!F80-Shallow_Input!G80,0)+Shallow_Input!M80)*Shallow_Input!J80+Shallow_Input!P80*Shallow_Input!F80+Shallow_Input!O80)/G80</x:f>
      </x:c>
      <x:c r="O80" s="16" t="e">
        <x:f>ABS(((Shallow_Input!Z80*Shallow_Input!H80*Shallow_Input!I80*MAX(Shallow_Input!F80-Shallow_Input!G80,0)+Shallow_Input!M80)*IF(B80="S",0,Shallow_Input!K80)+Shallow_Input!Q80*Shallow_Input!F80+IF(B80="S",0,Shallow_Input!N80))/G80)</x:f>
      </x:c>
      <x:c r="P80" s="16" t="e">
        <x:f>D80-2*N80</x:f>
      </x:c>
      <x:c r="Q80" s="16" t="e">
        <x:f>E80-2*O80</x:f>
      </x:c>
      <x:c r="R80" s="16" t="e">
        <x:f>MAX(P80,0.000001)</x:f>
      </x:c>
      <x:c r="S80" s="16" t="e">
        <x:f>IF(B80="S",1,MAX(Q80,0.000001))</x:f>
      </x:c>
      <x:c r="T80" s="16" t="e">
        <x:f>R80*S80</x:f>
      </x:c>
      <x:c r="U80" s="16" t="e">
        <x:f>DEGREES(ATAN(SQRT(Shallow_Input!P80^2+Shallow_Input!Q80^2)/G80))</x:f>
      </x:c>
      <x:c r="V80" s="16" t="n">
        <x:f>EXP(PI()*TAN(RADIANS(Shallow_Input!Y80)))*TAN(PI()/4+RADIANS(Shallow_Input!Y80)/2)^2</x:f>
        <x:v>0.9999999999999998</x:v>
      </x:c>
      <x:c r="W80" s="16" t="n">
        <x:f>IF(ABS(TAN(RADIANS(Shallow_Input!Y80)))&gt;0.0000001,(V80-1)/TAN(RADIANS(Shallow_Input!Y80)),5.14)</x:f>
        <x:v>5.14</x:v>
      </x:c>
      <x:c r="X80" s="16" t="n">
        <x:f>2*(V80+1)*TAN(RADIANS(Shallow_Input!Y80))</x:f>
        <x:v>0</x:v>
      </x:c>
      <x:c r="Y80" s="16" t="e">
        <x:f>IF(B80="S",1,1+R80/S80*V80/MAX(W80,0.000001))</x:f>
      </x:c>
      <x:c r="Z80" s="16" t="e">
        <x:f>IF(B80="S",1,1+R80/S80*TAN(RADIANS(Shallow_Input!Y80)))</x:f>
      </x:c>
      <x:c r="AA80" s="16" t="e">
        <x:f>IF(B80="S",1,1-0.4*R80/S80)</x:f>
      </x:c>
      <x:c r="AB80" s="16" t="e">
        <x:f>1+0.4*IF(F80/MAX(R80,0.000001)&lt;=1,F80/MAX(R80,0.000001),ATAN(F80/MAX(R80,0.000001)))</x:f>
      </x:c>
      <x:c r="AC80" s="16" t="e">
        <x:f>1+2*TAN(RADIANS(Shallow_Input!U80))*(1-SIN(RADIANS(Shallow_Input!U80)))^2*IF(F80/MAX(R80,0.000001)&lt;=1,F80/MAX(R80,0.000001),ATAN(F80/MAX(R80,0.000001)))</x:f>
      </x:c>
      <x:c r="AD80" s="16" t="n">
        <x:f>1</x:f>
        <x:v>1</x:v>
      </x:c>
      <x:c r="AE80" s="16" t="e">
        <x:f>(1-U80/90)^2</x:f>
      </x:c>
      <x:c r="AF80" s="16" t="e">
        <x:f>(1-U80/90)^2</x:f>
      </x:c>
      <x:c r="AG80" s="16" t="n">
        <x:f>IF(Shallow_Input!Y80&gt;0,(1-U80/Shallow_Input!Y80)^2,1)</x:f>
        <x:v>1</x:v>
      </x:c>
      <x:c r="AH80" s="16" t="e">
        <x:f>J80/MAX(G80,0.000001)</x:f>
      </x:c>
      <x:c r="AI80" s="16" t="e">
        <x:f>H80/MAX(L80,0.000001)</x:f>
      </x:c>
      <x:c r="AJ80" s="16" t="e">
        <x:f>IF(K80&gt;=G80,"OK","NG")</x:f>
      </x:c>
      <x:c r="AK80" s="16" t="e">
        <x:f>IF(I80&gt;=L80,"OK","NG")</x:f>
      </x:c>
      <x:c r="AL80" s="16" t="e">
        <x:f>IF(M80&gt;=0,"OK","NG")</x:f>
      </x:c>
      <x:c r="AM80" s="16" t="e">
        <x:f>IF(F80/MAX(R80,0.000001)&lt;=1,"Shallow","Deep")</x:f>
      </x:c>
    </x:row>
    <x:row r="81">
      <x:c r="A81" s="16" t="n">
        <x:f>Shallow_Input!A81</x:f>
        <x:v>0</x:v>
      </x:c>
      <x:c r="B81" s="16" t="n">
        <x:f>Shallow_Input!B81</x:f>
        <x:v>0</x:v>
      </x:c>
      <x:c r="C81" s="16" t="n">
        <x:f>Shallow_Input!C81</x:f>
        <x:v>0</x:v>
      </x:c>
      <x:c r="D81" s="16" t="n">
        <x:f>Shallow_Input!D81</x:f>
        <x:v>0</x:v>
      </x:c>
      <x:c r="E81" s="16" t="e">
        <x:f>IF(B81="S",1,Shallow_Input!E81)</x:f>
      </x:c>
      <x:c r="F81" s="16" t="n">
        <x:f>Shallow_Input!F81</x:f>
        <x:v>0</x:v>
      </x:c>
      <x:c r="G81" s="16" t="e">
        <x:f>LET(B0,D81,L0,E81,D0,F81,t,Shallow_Input!G81,Cx,Shallow_Input!H81,Cy,Shallow_Input!I81,Ox,Shallow_Input!J81,Oy,IF(B81="S",0,Shallow_Input!K81),dw,Shallow_Input!L81,Qc,Shallow_Input!M81,g1u,Shallow_Input!R81,g1sat,Shallow_Input!S81,gc,Shallow_Input!Z81,g1ave,IF(dw&gt;=D0,g1u,IF(dw&lt;=0,g1sat,(g1u*dw+g1sat*(D0-dw))/D0)),g1ave*MAX(B0*L0-Cx*Cy,0)*MAX(D0-t,0)+gc*Cx*Cy*MAX(D0-t,0)+t*B0*L0*gc+Qc)</x:f>
      </x:c>
      <x:c r="H81" s="16" t="e">
        <x:f>LET(shape,B81,B0,D81,L0,E81,D0,F81,dw,Shallow_Input!L81,g1u,Shallow_Input!R81,g1sat,Shallow_Input!S81,gw,Shallow_Input!AA81,g2u,Shallow_Input!V81,g2sat,Shallow_Input!W81,analysis,C81,c2,Shallow_Input!X81,phi1,Shallow_Input!U81,phi2,Shallow_Input!Y81,Bef,R81,Nq,V81,Nc,W81,Ny,X81,Fcs,Y81,Fqs,Z81,Fys,AA81,Fcd,AB81,Fqd,AC81,Fyd,AD81,Fci,AE81,Fqi,AF81,Fyi,AG81,g1ave,IF(dw&gt;=D0,g1u,IF(dw&lt;=0,g1sat,(g1u*dw+g1sat*(D0-dw))/D0)),g1eff,IF(dw&gt;=D0,g1u,IF(dw&lt;=0,g1sat-gw,(g1u*dw+(g1sat-gw)*(D0-dw))/D0)),g2width,IF(shape="S",B0,Bef),g2ave,IF(dw&gt;=D0+g2width,g2u,IF(dw&lt;=D0,g2sat,(g2u*(dw-D0)+g2sat*(g2width-(dw-D0)))/g2width)),g2eff,IF(dw&gt;=D0+g2width,g2u,IF(dw&lt;=D0,g2sat-gw,(g2u*(dw-D0)+(g2sat-gw)*(g2width-(dw-D0)))/g2width)),g1used,IF(analysis="T",g1ave,g1eff),g2used,IF(analysis="T",g2ave,g2eff),q,g1used*D0,c2*Nc*Fcs*Fcd*Fci+q*Nq*Fqs*Fqd*Fqi+0.5*Bef*g2used*Ny*Fys*Fyd*Fyi)</x:f>
      </x:c>
      <x:c r="I81" s="16" t="e">
        <x:f>H81/Shallow_Input!AB81</x:f>
      </x:c>
      <x:c r="J81" s="16" t="e">
        <x:f>H81*T81</x:f>
      </x:c>
      <x:c r="K81" s="16" t="e">
        <x:f>I81*T81</x:f>
      </x:c>
      <x:c r="L81" s="16" t="e">
        <x:f>G81/(D81*E81)*(1+6*N81/D81+6*O81/E81)</x:f>
      </x:c>
      <x:c r="M81" s="16" t="e">
        <x:f>G81/(D81*E81)*(1-6*N81/D81-6*O81/E81)</x:f>
      </x:c>
      <x:c r="N81" s="16" t="e">
        <x:f>ABS((Shallow_Input!Z81*Shallow_Input!H81*Shallow_Input!I81*MAX(Shallow_Input!F81-Shallow_Input!G81,0)+Shallow_Input!M81)*Shallow_Input!J81+Shallow_Input!P81*Shallow_Input!F81+Shallow_Input!O81)/G81</x:f>
      </x:c>
      <x:c r="O81" s="16" t="e">
        <x:f>ABS(((Shallow_Input!Z81*Shallow_Input!H81*Shallow_Input!I81*MAX(Shallow_Input!F81-Shallow_Input!G81,0)+Shallow_Input!M81)*IF(B81="S",0,Shallow_Input!K81)+Shallow_Input!Q81*Shallow_Input!F81+IF(B81="S",0,Shallow_Input!N81))/G81)</x:f>
      </x:c>
      <x:c r="P81" s="16" t="e">
        <x:f>D81-2*N81</x:f>
      </x:c>
      <x:c r="Q81" s="16" t="e">
        <x:f>E81-2*O81</x:f>
      </x:c>
      <x:c r="R81" s="16" t="e">
        <x:f>MAX(P81,0.000001)</x:f>
      </x:c>
      <x:c r="S81" s="16" t="e">
        <x:f>IF(B81="S",1,MAX(Q81,0.000001))</x:f>
      </x:c>
      <x:c r="T81" s="16" t="e">
        <x:f>R81*S81</x:f>
      </x:c>
      <x:c r="U81" s="16" t="e">
        <x:f>DEGREES(ATAN(SQRT(Shallow_Input!P81^2+Shallow_Input!Q81^2)/G81))</x:f>
      </x:c>
      <x:c r="V81" s="16" t="n">
        <x:f>EXP(PI()*TAN(RADIANS(Shallow_Input!Y81)))*TAN(PI()/4+RADIANS(Shallow_Input!Y81)/2)^2</x:f>
        <x:v>0.9999999999999998</x:v>
      </x:c>
      <x:c r="W81" s="16" t="n">
        <x:f>IF(ABS(TAN(RADIANS(Shallow_Input!Y81)))&gt;0.0000001,(V81-1)/TAN(RADIANS(Shallow_Input!Y81)),5.14)</x:f>
        <x:v>5.14</x:v>
      </x:c>
      <x:c r="X81" s="16" t="n">
        <x:f>2*(V81+1)*TAN(RADIANS(Shallow_Input!Y81))</x:f>
        <x:v>0</x:v>
      </x:c>
      <x:c r="Y81" s="16" t="e">
        <x:f>IF(B81="S",1,1+R81/S81*V81/MAX(W81,0.000001))</x:f>
      </x:c>
      <x:c r="Z81" s="16" t="e">
        <x:f>IF(B81="S",1,1+R81/S81*TAN(RADIANS(Shallow_Input!Y81)))</x:f>
      </x:c>
      <x:c r="AA81" s="16" t="e">
        <x:f>IF(B81="S",1,1-0.4*R81/S81)</x:f>
      </x:c>
      <x:c r="AB81" s="16" t="e">
        <x:f>1+0.4*IF(F81/MAX(R81,0.000001)&lt;=1,F81/MAX(R81,0.000001),ATAN(F81/MAX(R81,0.000001)))</x:f>
      </x:c>
      <x:c r="AC81" s="16" t="e">
        <x:f>1+2*TAN(RADIANS(Shallow_Input!U81))*(1-SIN(RADIANS(Shallow_Input!U81)))^2*IF(F81/MAX(R81,0.000001)&lt;=1,F81/MAX(R81,0.000001),ATAN(F81/MAX(R81,0.000001)))</x:f>
      </x:c>
      <x:c r="AD81" s="16" t="n">
        <x:f>1</x:f>
        <x:v>1</x:v>
      </x:c>
      <x:c r="AE81" s="16" t="e">
        <x:f>(1-U81/90)^2</x:f>
      </x:c>
      <x:c r="AF81" s="16" t="e">
        <x:f>(1-U81/90)^2</x:f>
      </x:c>
      <x:c r="AG81" s="16" t="n">
        <x:f>IF(Shallow_Input!Y81&gt;0,(1-U81/Shallow_Input!Y81)^2,1)</x:f>
        <x:v>1</x:v>
      </x:c>
      <x:c r="AH81" s="16" t="e">
        <x:f>J81/MAX(G81,0.000001)</x:f>
      </x:c>
      <x:c r="AI81" s="16" t="e">
        <x:f>H81/MAX(L81,0.000001)</x:f>
      </x:c>
      <x:c r="AJ81" s="16" t="e">
        <x:f>IF(K81&gt;=G81,"OK","NG")</x:f>
      </x:c>
      <x:c r="AK81" s="16" t="e">
        <x:f>IF(I81&gt;=L81,"OK","NG")</x:f>
      </x:c>
      <x:c r="AL81" s="16" t="e">
        <x:f>IF(M81&gt;=0,"OK","NG")</x:f>
      </x:c>
      <x:c r="AM81" s="16" t="e">
        <x:f>IF(F81/MAX(R81,0.000001)&lt;=1,"Shallow","Deep")</x:f>
      </x:c>
    </x:row>
    <x:row r="82">
      <x:c r="A82" s="16" t="n">
        <x:f>Shallow_Input!A82</x:f>
        <x:v>0</x:v>
      </x:c>
      <x:c r="B82" s="16" t="n">
        <x:f>Shallow_Input!B82</x:f>
        <x:v>0</x:v>
      </x:c>
      <x:c r="C82" s="16" t="n">
        <x:f>Shallow_Input!C82</x:f>
        <x:v>0</x:v>
      </x:c>
      <x:c r="D82" s="16" t="n">
        <x:f>Shallow_Input!D82</x:f>
        <x:v>0</x:v>
      </x:c>
      <x:c r="E82" s="16" t="e">
        <x:f>IF(B82="S",1,Shallow_Input!E82)</x:f>
      </x:c>
      <x:c r="F82" s="16" t="n">
        <x:f>Shallow_Input!F82</x:f>
        <x:v>0</x:v>
      </x:c>
      <x:c r="G82" s="16" t="e">
        <x:f>LET(B0,D82,L0,E82,D0,F82,t,Shallow_Input!G82,Cx,Shallow_Input!H82,Cy,Shallow_Input!I82,Ox,Shallow_Input!J82,Oy,IF(B82="S",0,Shallow_Input!K82),dw,Shallow_Input!L82,Qc,Shallow_Input!M82,g1u,Shallow_Input!R82,g1sat,Shallow_Input!S82,gc,Shallow_Input!Z82,g1ave,IF(dw&gt;=D0,g1u,IF(dw&lt;=0,g1sat,(g1u*dw+g1sat*(D0-dw))/D0)),g1ave*MAX(B0*L0-Cx*Cy,0)*MAX(D0-t,0)+gc*Cx*Cy*MAX(D0-t,0)+t*B0*L0*gc+Qc)</x:f>
      </x:c>
      <x:c r="H82" s="16" t="e">
        <x:f>LET(shape,B82,B0,D82,L0,E82,D0,F82,dw,Shallow_Input!L82,g1u,Shallow_Input!R82,g1sat,Shallow_Input!S82,gw,Shallow_Input!AA82,g2u,Shallow_Input!V82,g2sat,Shallow_Input!W82,analysis,C82,c2,Shallow_Input!X82,phi1,Shallow_Input!U82,phi2,Shallow_Input!Y82,Bef,R82,Nq,V82,Nc,W82,Ny,X82,Fcs,Y82,Fqs,Z82,Fys,AA82,Fcd,AB82,Fqd,AC82,Fyd,AD82,Fci,AE82,Fqi,AF82,Fyi,AG82,g1ave,IF(dw&gt;=D0,g1u,IF(dw&lt;=0,g1sat,(g1u*dw+g1sat*(D0-dw))/D0)),g1eff,IF(dw&gt;=D0,g1u,IF(dw&lt;=0,g1sat-gw,(g1u*dw+(g1sat-gw)*(D0-dw))/D0)),g2width,IF(shape="S",B0,Bef),g2ave,IF(dw&gt;=D0+g2width,g2u,IF(dw&lt;=D0,g2sat,(g2u*(dw-D0)+g2sat*(g2width-(dw-D0)))/g2width)),g2eff,IF(dw&gt;=D0+g2width,g2u,IF(dw&lt;=D0,g2sat-gw,(g2u*(dw-D0)+(g2sat-gw)*(g2width-(dw-D0)))/g2width)),g1used,IF(analysis="T",g1ave,g1eff),g2used,IF(analysis="T",g2ave,g2eff),q,g1used*D0,c2*Nc*Fcs*Fcd*Fci+q*Nq*Fqs*Fqd*Fqi+0.5*Bef*g2used*Ny*Fys*Fyd*Fyi)</x:f>
      </x:c>
      <x:c r="I82" s="16" t="e">
        <x:f>H82/Shallow_Input!AB82</x:f>
      </x:c>
      <x:c r="J82" s="16" t="e">
        <x:f>H82*T82</x:f>
      </x:c>
      <x:c r="K82" s="16" t="e">
        <x:f>I82*T82</x:f>
      </x:c>
      <x:c r="L82" s="16" t="e">
        <x:f>G82/(D82*E82)*(1+6*N82/D82+6*O82/E82)</x:f>
      </x:c>
      <x:c r="M82" s="16" t="e">
        <x:f>G82/(D82*E82)*(1-6*N82/D82-6*O82/E82)</x:f>
      </x:c>
      <x:c r="N82" s="16" t="e">
        <x:f>ABS((Shallow_Input!Z82*Shallow_Input!H82*Shallow_Input!I82*MAX(Shallow_Input!F82-Shallow_Input!G82,0)+Shallow_Input!M82)*Shallow_Input!J82+Shallow_Input!P82*Shallow_Input!F82+Shallow_Input!O82)/G82</x:f>
      </x:c>
      <x:c r="O82" s="16" t="e">
        <x:f>ABS(((Shallow_Input!Z82*Shallow_Input!H82*Shallow_Input!I82*MAX(Shallow_Input!F82-Shallow_Input!G82,0)+Shallow_Input!M82)*IF(B82="S",0,Shallow_Input!K82)+Shallow_Input!Q82*Shallow_Input!F82+IF(B82="S",0,Shallow_Input!N82))/G82)</x:f>
      </x:c>
      <x:c r="P82" s="16" t="e">
        <x:f>D82-2*N82</x:f>
      </x:c>
      <x:c r="Q82" s="16" t="e">
        <x:f>E82-2*O82</x:f>
      </x:c>
      <x:c r="R82" s="16" t="e">
        <x:f>MAX(P82,0.000001)</x:f>
      </x:c>
      <x:c r="S82" s="16" t="e">
        <x:f>IF(B82="S",1,MAX(Q82,0.000001))</x:f>
      </x:c>
      <x:c r="T82" s="16" t="e">
        <x:f>R82*S82</x:f>
      </x:c>
      <x:c r="U82" s="16" t="e">
        <x:f>DEGREES(ATAN(SQRT(Shallow_Input!P82^2+Shallow_Input!Q82^2)/G82))</x:f>
      </x:c>
      <x:c r="V82" s="16" t="n">
        <x:f>EXP(PI()*TAN(RADIANS(Shallow_Input!Y82)))*TAN(PI()/4+RADIANS(Shallow_Input!Y82)/2)^2</x:f>
        <x:v>0.9999999999999998</x:v>
      </x:c>
      <x:c r="W82" s="16" t="n">
        <x:f>IF(ABS(TAN(RADIANS(Shallow_Input!Y82)))&gt;0.0000001,(V82-1)/TAN(RADIANS(Shallow_Input!Y82)),5.14)</x:f>
        <x:v>5.14</x:v>
      </x:c>
      <x:c r="X82" s="16" t="n">
        <x:f>2*(V82+1)*TAN(RADIANS(Shallow_Input!Y82))</x:f>
        <x:v>0</x:v>
      </x:c>
      <x:c r="Y82" s="16" t="e">
        <x:f>IF(B82="S",1,1+R82/S82*V82/MAX(W82,0.000001))</x:f>
      </x:c>
      <x:c r="Z82" s="16" t="e">
        <x:f>IF(B82="S",1,1+R82/S82*TAN(RADIANS(Shallow_Input!Y82)))</x:f>
      </x:c>
      <x:c r="AA82" s="16" t="e">
        <x:f>IF(B82="S",1,1-0.4*R82/S82)</x:f>
      </x:c>
      <x:c r="AB82" s="16" t="e">
        <x:f>1+0.4*IF(F82/MAX(R82,0.000001)&lt;=1,F82/MAX(R82,0.000001),ATAN(F82/MAX(R82,0.000001)))</x:f>
      </x:c>
      <x:c r="AC82" s="16" t="e">
        <x:f>1+2*TAN(RADIANS(Shallow_Input!U82))*(1-SIN(RADIANS(Shallow_Input!U82)))^2*IF(F82/MAX(R82,0.000001)&lt;=1,F82/MAX(R82,0.000001),ATAN(F82/MAX(R82,0.000001)))</x:f>
      </x:c>
      <x:c r="AD82" s="16" t="n">
        <x:f>1</x:f>
        <x:v>1</x:v>
      </x:c>
      <x:c r="AE82" s="16" t="e">
        <x:f>(1-U82/90)^2</x:f>
      </x:c>
      <x:c r="AF82" s="16" t="e">
        <x:f>(1-U82/90)^2</x:f>
      </x:c>
      <x:c r="AG82" s="16" t="n">
        <x:f>IF(Shallow_Input!Y82&gt;0,(1-U82/Shallow_Input!Y82)^2,1)</x:f>
        <x:v>1</x:v>
      </x:c>
      <x:c r="AH82" s="16" t="e">
        <x:f>J82/MAX(G82,0.000001)</x:f>
      </x:c>
      <x:c r="AI82" s="16" t="e">
        <x:f>H82/MAX(L82,0.000001)</x:f>
      </x:c>
      <x:c r="AJ82" s="16" t="e">
        <x:f>IF(K82&gt;=G82,"OK","NG")</x:f>
      </x:c>
      <x:c r="AK82" s="16" t="e">
        <x:f>IF(I82&gt;=L82,"OK","NG")</x:f>
      </x:c>
      <x:c r="AL82" s="16" t="e">
        <x:f>IF(M82&gt;=0,"OK","NG")</x:f>
      </x:c>
      <x:c r="AM82" s="16" t="e">
        <x:f>IF(F82/MAX(R82,0.000001)&lt;=1,"Shallow","Deep")</x:f>
      </x:c>
    </x:row>
    <x:row r="83">
      <x:c r="A83" s="16" t="n">
        <x:f>Shallow_Input!A83</x:f>
        <x:v>0</x:v>
      </x:c>
      <x:c r="B83" s="16" t="n">
        <x:f>Shallow_Input!B83</x:f>
        <x:v>0</x:v>
      </x:c>
      <x:c r="C83" s="16" t="n">
        <x:f>Shallow_Input!C83</x:f>
        <x:v>0</x:v>
      </x:c>
      <x:c r="D83" s="16" t="n">
        <x:f>Shallow_Input!D83</x:f>
        <x:v>0</x:v>
      </x:c>
      <x:c r="E83" s="16" t="e">
        <x:f>IF(B83="S",1,Shallow_Input!E83)</x:f>
      </x:c>
      <x:c r="F83" s="16" t="n">
        <x:f>Shallow_Input!F83</x:f>
        <x:v>0</x:v>
      </x:c>
      <x:c r="G83" s="16" t="e">
        <x:f>LET(B0,D83,L0,E83,D0,F83,t,Shallow_Input!G83,Cx,Shallow_Input!H83,Cy,Shallow_Input!I83,Ox,Shallow_Input!J83,Oy,IF(B83="S",0,Shallow_Input!K83),dw,Shallow_Input!L83,Qc,Shallow_Input!M83,g1u,Shallow_Input!R83,g1sat,Shallow_Input!S83,gc,Shallow_Input!Z83,g1ave,IF(dw&gt;=D0,g1u,IF(dw&lt;=0,g1sat,(g1u*dw+g1sat*(D0-dw))/D0)),g1ave*MAX(B0*L0-Cx*Cy,0)*MAX(D0-t,0)+gc*Cx*Cy*MAX(D0-t,0)+t*B0*L0*gc+Qc)</x:f>
      </x:c>
      <x:c r="H83" s="16" t="e">
        <x:f>LET(shape,B83,B0,D83,L0,E83,D0,F83,dw,Shallow_Input!L83,g1u,Shallow_Input!R83,g1sat,Shallow_Input!S83,gw,Shallow_Input!AA83,g2u,Shallow_Input!V83,g2sat,Shallow_Input!W83,analysis,C83,c2,Shallow_Input!X83,phi1,Shallow_Input!U83,phi2,Shallow_Input!Y83,Bef,R83,Nq,V83,Nc,W83,Ny,X83,Fcs,Y83,Fqs,Z83,Fys,AA83,Fcd,AB83,Fqd,AC83,Fyd,AD83,Fci,AE83,Fqi,AF83,Fyi,AG83,g1ave,IF(dw&gt;=D0,g1u,IF(dw&lt;=0,g1sat,(g1u*dw+g1sat*(D0-dw))/D0)),g1eff,IF(dw&gt;=D0,g1u,IF(dw&lt;=0,g1sat-gw,(g1u*dw+(g1sat-gw)*(D0-dw))/D0)),g2width,IF(shape="S",B0,Bef),g2ave,IF(dw&gt;=D0+g2width,g2u,IF(dw&lt;=D0,g2sat,(g2u*(dw-D0)+g2sat*(g2width-(dw-D0)))/g2width)),g2eff,IF(dw&gt;=D0+g2width,g2u,IF(dw&lt;=D0,g2sat-gw,(g2u*(dw-D0)+(g2sat-gw)*(g2width-(dw-D0)))/g2width)),g1used,IF(analysis="T",g1ave,g1eff),g2used,IF(analysis="T",g2ave,g2eff),q,g1used*D0,c2*Nc*Fcs*Fcd*Fci+q*Nq*Fqs*Fqd*Fqi+0.5*Bef*g2used*Ny*Fys*Fyd*Fyi)</x:f>
      </x:c>
      <x:c r="I83" s="16" t="e">
        <x:f>H83/Shallow_Input!AB83</x:f>
      </x:c>
      <x:c r="J83" s="16" t="e">
        <x:f>H83*T83</x:f>
      </x:c>
      <x:c r="K83" s="16" t="e">
        <x:f>I83*T83</x:f>
      </x:c>
      <x:c r="L83" s="16" t="e">
        <x:f>G83/(D83*E83)*(1+6*N83/D83+6*O83/E83)</x:f>
      </x:c>
      <x:c r="M83" s="16" t="e">
        <x:f>G83/(D83*E83)*(1-6*N83/D83-6*O83/E83)</x:f>
      </x:c>
      <x:c r="N83" s="16" t="e">
        <x:f>ABS((Shallow_Input!Z83*Shallow_Input!H83*Shallow_Input!I83*MAX(Shallow_Input!F83-Shallow_Input!G83,0)+Shallow_Input!M83)*Shallow_Input!J83+Shallow_Input!P83*Shallow_Input!F83+Shallow_Input!O83)/G83</x:f>
      </x:c>
      <x:c r="O83" s="16" t="e">
        <x:f>ABS(((Shallow_Input!Z83*Shallow_Input!H83*Shallow_Input!I83*MAX(Shallow_Input!F83-Shallow_Input!G83,0)+Shallow_Input!M83)*IF(B83="S",0,Shallow_Input!K83)+Shallow_Input!Q83*Shallow_Input!F83+IF(B83="S",0,Shallow_Input!N83))/G83)</x:f>
      </x:c>
      <x:c r="P83" s="16" t="e">
        <x:f>D83-2*N83</x:f>
      </x:c>
      <x:c r="Q83" s="16" t="e">
        <x:f>E83-2*O83</x:f>
      </x:c>
      <x:c r="R83" s="16" t="e">
        <x:f>MAX(P83,0.000001)</x:f>
      </x:c>
      <x:c r="S83" s="16" t="e">
        <x:f>IF(B83="S",1,MAX(Q83,0.000001))</x:f>
      </x:c>
      <x:c r="T83" s="16" t="e">
        <x:f>R83*S83</x:f>
      </x:c>
      <x:c r="U83" s="16" t="e">
        <x:f>DEGREES(ATAN(SQRT(Shallow_Input!P83^2+Shallow_Input!Q83^2)/G83))</x:f>
      </x:c>
      <x:c r="V83" s="16" t="n">
        <x:f>EXP(PI()*TAN(RADIANS(Shallow_Input!Y83)))*TAN(PI()/4+RADIANS(Shallow_Input!Y83)/2)^2</x:f>
        <x:v>0.9999999999999998</x:v>
      </x:c>
      <x:c r="W83" s="16" t="n">
        <x:f>IF(ABS(TAN(RADIANS(Shallow_Input!Y83)))&gt;0.0000001,(V83-1)/TAN(RADIANS(Shallow_Input!Y83)),5.14)</x:f>
        <x:v>5.14</x:v>
      </x:c>
      <x:c r="X83" s="16" t="n">
        <x:f>2*(V83+1)*TAN(RADIANS(Shallow_Input!Y83))</x:f>
        <x:v>0</x:v>
      </x:c>
      <x:c r="Y83" s="16" t="e">
        <x:f>IF(B83="S",1,1+R83/S83*V83/MAX(W83,0.000001))</x:f>
      </x:c>
      <x:c r="Z83" s="16" t="e">
        <x:f>IF(B83="S",1,1+R83/S83*TAN(RADIANS(Shallow_Input!Y83)))</x:f>
      </x:c>
      <x:c r="AA83" s="16" t="e">
        <x:f>IF(B83="S",1,1-0.4*R83/S83)</x:f>
      </x:c>
      <x:c r="AB83" s="16" t="e">
        <x:f>1+0.4*IF(F83/MAX(R83,0.000001)&lt;=1,F83/MAX(R83,0.000001),ATAN(F83/MAX(R83,0.000001)))</x:f>
      </x:c>
      <x:c r="AC83" s="16" t="e">
        <x:f>1+2*TAN(RADIANS(Shallow_Input!U83))*(1-SIN(RADIANS(Shallow_Input!U83)))^2*IF(F83/MAX(R83,0.000001)&lt;=1,F83/MAX(R83,0.000001),ATAN(F83/MAX(R83,0.000001)))</x:f>
      </x:c>
      <x:c r="AD83" s="16" t="n">
        <x:f>1</x:f>
        <x:v>1</x:v>
      </x:c>
      <x:c r="AE83" s="16" t="e">
        <x:f>(1-U83/90)^2</x:f>
      </x:c>
      <x:c r="AF83" s="16" t="e">
        <x:f>(1-U83/90)^2</x:f>
      </x:c>
      <x:c r="AG83" s="16" t="n">
        <x:f>IF(Shallow_Input!Y83&gt;0,(1-U83/Shallow_Input!Y83)^2,1)</x:f>
        <x:v>1</x:v>
      </x:c>
      <x:c r="AH83" s="16" t="e">
        <x:f>J83/MAX(G83,0.000001)</x:f>
      </x:c>
      <x:c r="AI83" s="16" t="e">
        <x:f>H83/MAX(L83,0.000001)</x:f>
      </x:c>
      <x:c r="AJ83" s="16" t="e">
        <x:f>IF(K83&gt;=G83,"OK","NG")</x:f>
      </x:c>
      <x:c r="AK83" s="16" t="e">
        <x:f>IF(I83&gt;=L83,"OK","NG")</x:f>
      </x:c>
      <x:c r="AL83" s="16" t="e">
        <x:f>IF(M83&gt;=0,"OK","NG")</x:f>
      </x:c>
      <x:c r="AM83" s="16" t="e">
        <x:f>IF(F83/MAX(R83,0.000001)&lt;=1,"Shallow","Deep")</x:f>
      </x:c>
    </x:row>
    <x:row r="84">
      <x:c r="A84" s="16" t="n">
        <x:f>Shallow_Input!A84</x:f>
        <x:v>0</x:v>
      </x:c>
      <x:c r="B84" s="16" t="n">
        <x:f>Shallow_Input!B84</x:f>
        <x:v>0</x:v>
      </x:c>
      <x:c r="C84" s="16" t="n">
        <x:f>Shallow_Input!C84</x:f>
        <x:v>0</x:v>
      </x:c>
      <x:c r="D84" s="16" t="n">
        <x:f>Shallow_Input!D84</x:f>
        <x:v>0</x:v>
      </x:c>
      <x:c r="E84" s="16" t="e">
        <x:f>IF(B84="S",1,Shallow_Input!E84)</x:f>
      </x:c>
      <x:c r="F84" s="16" t="n">
        <x:f>Shallow_Input!F84</x:f>
        <x:v>0</x:v>
      </x:c>
      <x:c r="G84" s="16" t="e">
        <x:f>LET(B0,D84,L0,E84,D0,F84,t,Shallow_Input!G84,Cx,Shallow_Input!H84,Cy,Shallow_Input!I84,Ox,Shallow_Input!J84,Oy,IF(B84="S",0,Shallow_Input!K84),dw,Shallow_Input!L84,Qc,Shallow_Input!M84,g1u,Shallow_Input!R84,g1sat,Shallow_Input!S84,gc,Shallow_Input!Z84,g1ave,IF(dw&gt;=D0,g1u,IF(dw&lt;=0,g1sat,(g1u*dw+g1sat*(D0-dw))/D0)),g1ave*MAX(B0*L0-Cx*Cy,0)*MAX(D0-t,0)+gc*Cx*Cy*MAX(D0-t,0)+t*B0*L0*gc+Qc)</x:f>
      </x:c>
      <x:c r="H84" s="16" t="e">
        <x:f>LET(shape,B84,B0,D84,L0,E84,D0,F84,dw,Shallow_Input!L84,g1u,Shallow_Input!R84,g1sat,Shallow_Input!S84,gw,Shallow_Input!AA84,g2u,Shallow_Input!V84,g2sat,Shallow_Input!W84,analysis,C84,c2,Shallow_Input!X84,phi1,Shallow_Input!U84,phi2,Shallow_Input!Y84,Bef,R84,Nq,V84,Nc,W84,Ny,X84,Fcs,Y84,Fqs,Z84,Fys,AA84,Fcd,AB84,Fqd,AC84,Fyd,AD84,Fci,AE84,Fqi,AF84,Fyi,AG84,g1ave,IF(dw&gt;=D0,g1u,IF(dw&lt;=0,g1sat,(g1u*dw+g1sat*(D0-dw))/D0)),g1eff,IF(dw&gt;=D0,g1u,IF(dw&lt;=0,g1sat-gw,(g1u*dw+(g1sat-gw)*(D0-dw))/D0)),g2width,IF(shape="S",B0,Bef),g2ave,IF(dw&gt;=D0+g2width,g2u,IF(dw&lt;=D0,g2sat,(g2u*(dw-D0)+g2sat*(g2width-(dw-D0)))/g2width)),g2eff,IF(dw&gt;=D0+g2width,g2u,IF(dw&lt;=D0,g2sat-gw,(g2u*(dw-D0)+(g2sat-gw)*(g2width-(dw-D0)))/g2width)),g1used,IF(analysis="T",g1ave,g1eff),g2used,IF(analysis="T",g2ave,g2eff),q,g1used*D0,c2*Nc*Fcs*Fcd*Fci+q*Nq*Fqs*Fqd*Fqi+0.5*Bef*g2used*Ny*Fys*Fyd*Fyi)</x:f>
      </x:c>
      <x:c r="I84" s="16" t="e">
        <x:f>H84/Shallow_Input!AB84</x:f>
      </x:c>
      <x:c r="J84" s="16" t="e">
        <x:f>H84*T84</x:f>
      </x:c>
      <x:c r="K84" s="16" t="e">
        <x:f>I84*T84</x:f>
      </x:c>
      <x:c r="L84" s="16" t="e">
        <x:f>G84/(D84*E84)*(1+6*N84/D84+6*O84/E84)</x:f>
      </x:c>
      <x:c r="M84" s="16" t="e">
        <x:f>G84/(D84*E84)*(1-6*N84/D84-6*O84/E84)</x:f>
      </x:c>
      <x:c r="N84" s="16" t="e">
        <x:f>ABS((Shallow_Input!Z84*Shallow_Input!H84*Shallow_Input!I84*MAX(Shallow_Input!F84-Shallow_Input!G84,0)+Shallow_Input!M84)*Shallow_Input!J84+Shallow_Input!P84*Shallow_Input!F84+Shallow_Input!O84)/G84</x:f>
      </x:c>
      <x:c r="O84" s="16" t="e">
        <x:f>ABS(((Shallow_Input!Z84*Shallow_Input!H84*Shallow_Input!I84*MAX(Shallow_Input!F84-Shallow_Input!G84,0)+Shallow_Input!M84)*IF(B84="S",0,Shallow_Input!K84)+Shallow_Input!Q84*Shallow_Input!F84+IF(B84="S",0,Shallow_Input!N84))/G84)</x:f>
      </x:c>
      <x:c r="P84" s="16" t="e">
        <x:f>D84-2*N84</x:f>
      </x:c>
      <x:c r="Q84" s="16" t="e">
        <x:f>E84-2*O84</x:f>
      </x:c>
      <x:c r="R84" s="16" t="e">
        <x:f>MAX(P84,0.000001)</x:f>
      </x:c>
      <x:c r="S84" s="16" t="e">
        <x:f>IF(B84="S",1,MAX(Q84,0.000001))</x:f>
      </x:c>
      <x:c r="T84" s="16" t="e">
        <x:f>R84*S84</x:f>
      </x:c>
      <x:c r="U84" s="16" t="e">
        <x:f>DEGREES(ATAN(SQRT(Shallow_Input!P84^2+Shallow_Input!Q84^2)/G84))</x:f>
      </x:c>
      <x:c r="V84" s="16" t="n">
        <x:f>EXP(PI()*TAN(RADIANS(Shallow_Input!Y84)))*TAN(PI()/4+RADIANS(Shallow_Input!Y84)/2)^2</x:f>
        <x:v>0.9999999999999998</x:v>
      </x:c>
      <x:c r="W84" s="16" t="n">
        <x:f>IF(ABS(TAN(RADIANS(Shallow_Input!Y84)))&gt;0.0000001,(V84-1)/TAN(RADIANS(Shallow_Input!Y84)),5.14)</x:f>
        <x:v>5.14</x:v>
      </x:c>
      <x:c r="X84" s="16" t="n">
        <x:f>2*(V84+1)*TAN(RADIANS(Shallow_Input!Y84))</x:f>
        <x:v>0</x:v>
      </x:c>
      <x:c r="Y84" s="16" t="e">
        <x:f>IF(B84="S",1,1+R84/S84*V84/MAX(W84,0.000001))</x:f>
      </x:c>
      <x:c r="Z84" s="16" t="e">
        <x:f>IF(B84="S",1,1+R84/S84*TAN(RADIANS(Shallow_Input!Y84)))</x:f>
      </x:c>
      <x:c r="AA84" s="16" t="e">
        <x:f>IF(B84="S",1,1-0.4*R84/S84)</x:f>
      </x:c>
      <x:c r="AB84" s="16" t="e">
        <x:f>1+0.4*IF(F84/MAX(R84,0.000001)&lt;=1,F84/MAX(R84,0.000001),ATAN(F84/MAX(R84,0.000001)))</x:f>
      </x:c>
      <x:c r="AC84" s="16" t="e">
        <x:f>1+2*TAN(RADIANS(Shallow_Input!U84))*(1-SIN(RADIANS(Shallow_Input!U84)))^2*IF(F84/MAX(R84,0.000001)&lt;=1,F84/MAX(R84,0.000001),ATAN(F84/MAX(R84,0.000001)))</x:f>
      </x:c>
      <x:c r="AD84" s="16" t="n">
        <x:f>1</x:f>
        <x:v>1</x:v>
      </x:c>
      <x:c r="AE84" s="16" t="e">
        <x:f>(1-U84/90)^2</x:f>
      </x:c>
      <x:c r="AF84" s="16" t="e">
        <x:f>(1-U84/90)^2</x:f>
      </x:c>
      <x:c r="AG84" s="16" t="n">
        <x:f>IF(Shallow_Input!Y84&gt;0,(1-U84/Shallow_Input!Y84)^2,1)</x:f>
        <x:v>1</x:v>
      </x:c>
      <x:c r="AH84" s="16" t="e">
        <x:f>J84/MAX(G84,0.000001)</x:f>
      </x:c>
      <x:c r="AI84" s="16" t="e">
        <x:f>H84/MAX(L84,0.000001)</x:f>
      </x:c>
      <x:c r="AJ84" s="16" t="e">
        <x:f>IF(K84&gt;=G84,"OK","NG")</x:f>
      </x:c>
      <x:c r="AK84" s="16" t="e">
        <x:f>IF(I84&gt;=L84,"OK","NG")</x:f>
      </x:c>
      <x:c r="AL84" s="16" t="e">
        <x:f>IF(M84&gt;=0,"OK","NG")</x:f>
      </x:c>
      <x:c r="AM84" s="16" t="e">
        <x:f>IF(F84/MAX(R84,0.000001)&lt;=1,"Shallow","Deep")</x:f>
      </x:c>
    </x:row>
    <x:row r="85">
      <x:c r="A85" s="16" t="n">
        <x:f>Shallow_Input!A85</x:f>
        <x:v>0</x:v>
      </x:c>
      <x:c r="B85" s="16" t="n">
        <x:f>Shallow_Input!B85</x:f>
        <x:v>0</x:v>
      </x:c>
      <x:c r="C85" s="16" t="n">
        <x:f>Shallow_Input!C85</x:f>
        <x:v>0</x:v>
      </x:c>
      <x:c r="D85" s="16" t="n">
        <x:f>Shallow_Input!D85</x:f>
        <x:v>0</x:v>
      </x:c>
      <x:c r="E85" s="16" t="e">
        <x:f>IF(B85="S",1,Shallow_Input!E85)</x:f>
      </x:c>
      <x:c r="F85" s="16" t="n">
        <x:f>Shallow_Input!F85</x:f>
        <x:v>0</x:v>
      </x:c>
      <x:c r="G85" s="16" t="e">
        <x:f>LET(B0,D85,L0,E85,D0,F85,t,Shallow_Input!G85,Cx,Shallow_Input!H85,Cy,Shallow_Input!I85,Ox,Shallow_Input!J85,Oy,IF(B85="S",0,Shallow_Input!K85),dw,Shallow_Input!L85,Qc,Shallow_Input!M85,g1u,Shallow_Input!R85,g1sat,Shallow_Input!S85,gc,Shallow_Input!Z85,g1ave,IF(dw&gt;=D0,g1u,IF(dw&lt;=0,g1sat,(g1u*dw+g1sat*(D0-dw))/D0)),g1ave*MAX(B0*L0-Cx*Cy,0)*MAX(D0-t,0)+gc*Cx*Cy*MAX(D0-t,0)+t*B0*L0*gc+Qc)</x:f>
      </x:c>
      <x:c r="H85" s="16" t="e">
        <x:f>LET(shape,B85,B0,D85,L0,E85,D0,F85,dw,Shallow_Input!L85,g1u,Shallow_Input!R85,g1sat,Shallow_Input!S85,gw,Shallow_Input!AA85,g2u,Shallow_Input!V85,g2sat,Shallow_Input!W85,analysis,C85,c2,Shallow_Input!X85,phi1,Shallow_Input!U85,phi2,Shallow_Input!Y85,Bef,R85,Nq,V85,Nc,W85,Ny,X85,Fcs,Y85,Fqs,Z85,Fys,AA85,Fcd,AB85,Fqd,AC85,Fyd,AD85,Fci,AE85,Fqi,AF85,Fyi,AG85,g1ave,IF(dw&gt;=D0,g1u,IF(dw&lt;=0,g1sat,(g1u*dw+g1sat*(D0-dw))/D0)),g1eff,IF(dw&gt;=D0,g1u,IF(dw&lt;=0,g1sat-gw,(g1u*dw+(g1sat-gw)*(D0-dw))/D0)),g2width,IF(shape="S",B0,Bef),g2ave,IF(dw&gt;=D0+g2width,g2u,IF(dw&lt;=D0,g2sat,(g2u*(dw-D0)+g2sat*(g2width-(dw-D0)))/g2width)),g2eff,IF(dw&gt;=D0+g2width,g2u,IF(dw&lt;=D0,g2sat-gw,(g2u*(dw-D0)+(g2sat-gw)*(g2width-(dw-D0)))/g2width)),g1used,IF(analysis="T",g1ave,g1eff),g2used,IF(analysis="T",g2ave,g2eff),q,g1used*D0,c2*Nc*Fcs*Fcd*Fci+q*Nq*Fqs*Fqd*Fqi+0.5*Bef*g2used*Ny*Fys*Fyd*Fyi)</x:f>
      </x:c>
      <x:c r="I85" s="16" t="e">
        <x:f>H85/Shallow_Input!AB85</x:f>
      </x:c>
      <x:c r="J85" s="16" t="e">
        <x:f>H85*T85</x:f>
      </x:c>
      <x:c r="K85" s="16" t="e">
        <x:f>I85*T85</x:f>
      </x:c>
      <x:c r="L85" s="16" t="e">
        <x:f>G85/(D85*E85)*(1+6*N85/D85+6*O85/E85)</x:f>
      </x:c>
      <x:c r="M85" s="16" t="e">
        <x:f>G85/(D85*E85)*(1-6*N85/D85-6*O85/E85)</x:f>
      </x:c>
      <x:c r="N85" s="16" t="e">
        <x:f>ABS((Shallow_Input!Z85*Shallow_Input!H85*Shallow_Input!I85*MAX(Shallow_Input!F85-Shallow_Input!G85,0)+Shallow_Input!M85)*Shallow_Input!J85+Shallow_Input!P85*Shallow_Input!F85+Shallow_Input!O85)/G85</x:f>
      </x:c>
      <x:c r="O85" s="16" t="e">
        <x:f>ABS(((Shallow_Input!Z85*Shallow_Input!H85*Shallow_Input!I85*MAX(Shallow_Input!F85-Shallow_Input!G85,0)+Shallow_Input!M85)*IF(B85="S",0,Shallow_Input!K85)+Shallow_Input!Q85*Shallow_Input!F85+IF(B85="S",0,Shallow_Input!N85))/G85)</x:f>
      </x:c>
      <x:c r="P85" s="16" t="e">
        <x:f>D85-2*N85</x:f>
      </x:c>
      <x:c r="Q85" s="16" t="e">
        <x:f>E85-2*O85</x:f>
      </x:c>
      <x:c r="R85" s="16" t="e">
        <x:f>MAX(P85,0.000001)</x:f>
      </x:c>
      <x:c r="S85" s="16" t="e">
        <x:f>IF(B85="S",1,MAX(Q85,0.000001))</x:f>
      </x:c>
      <x:c r="T85" s="16" t="e">
        <x:f>R85*S85</x:f>
      </x:c>
      <x:c r="U85" s="16" t="e">
        <x:f>DEGREES(ATAN(SQRT(Shallow_Input!P85^2+Shallow_Input!Q85^2)/G85))</x:f>
      </x:c>
      <x:c r="V85" s="16" t="n">
        <x:f>EXP(PI()*TAN(RADIANS(Shallow_Input!Y85)))*TAN(PI()/4+RADIANS(Shallow_Input!Y85)/2)^2</x:f>
        <x:v>0.9999999999999998</x:v>
      </x:c>
      <x:c r="W85" s="16" t="n">
        <x:f>IF(ABS(TAN(RADIANS(Shallow_Input!Y85)))&gt;0.0000001,(V85-1)/TAN(RADIANS(Shallow_Input!Y85)),5.14)</x:f>
        <x:v>5.14</x:v>
      </x:c>
      <x:c r="X85" s="16" t="n">
        <x:f>2*(V85+1)*TAN(RADIANS(Shallow_Input!Y85))</x:f>
        <x:v>0</x:v>
      </x:c>
      <x:c r="Y85" s="16" t="e">
        <x:f>IF(B85="S",1,1+R85/S85*V85/MAX(W85,0.000001))</x:f>
      </x:c>
      <x:c r="Z85" s="16" t="e">
        <x:f>IF(B85="S",1,1+R85/S85*TAN(RADIANS(Shallow_Input!Y85)))</x:f>
      </x:c>
      <x:c r="AA85" s="16" t="e">
        <x:f>IF(B85="S",1,1-0.4*R85/S85)</x:f>
      </x:c>
      <x:c r="AB85" s="16" t="e">
        <x:f>1+0.4*IF(F85/MAX(R85,0.000001)&lt;=1,F85/MAX(R85,0.000001),ATAN(F85/MAX(R85,0.000001)))</x:f>
      </x:c>
      <x:c r="AC85" s="16" t="e">
        <x:f>1+2*TAN(RADIANS(Shallow_Input!U85))*(1-SIN(RADIANS(Shallow_Input!U85)))^2*IF(F85/MAX(R85,0.000001)&lt;=1,F85/MAX(R85,0.000001),ATAN(F85/MAX(R85,0.000001)))</x:f>
      </x:c>
      <x:c r="AD85" s="16" t="n">
        <x:f>1</x:f>
        <x:v>1</x:v>
      </x:c>
      <x:c r="AE85" s="16" t="e">
        <x:f>(1-U85/90)^2</x:f>
      </x:c>
      <x:c r="AF85" s="16" t="e">
        <x:f>(1-U85/90)^2</x:f>
      </x:c>
      <x:c r="AG85" s="16" t="n">
        <x:f>IF(Shallow_Input!Y85&gt;0,(1-U85/Shallow_Input!Y85)^2,1)</x:f>
        <x:v>1</x:v>
      </x:c>
      <x:c r="AH85" s="16" t="e">
        <x:f>J85/MAX(G85,0.000001)</x:f>
      </x:c>
      <x:c r="AI85" s="16" t="e">
        <x:f>H85/MAX(L85,0.000001)</x:f>
      </x:c>
      <x:c r="AJ85" s="16" t="e">
        <x:f>IF(K85&gt;=G85,"OK","NG")</x:f>
      </x:c>
      <x:c r="AK85" s="16" t="e">
        <x:f>IF(I85&gt;=L85,"OK","NG")</x:f>
      </x:c>
      <x:c r="AL85" s="16" t="e">
        <x:f>IF(M85&gt;=0,"OK","NG")</x:f>
      </x:c>
      <x:c r="AM85" s="16" t="e">
        <x:f>IF(F85/MAX(R85,0.000001)&lt;=1,"Shallow","Deep")</x:f>
      </x:c>
    </x:row>
    <x:row r="86">
      <x:c r="A86" s="16" t="n">
        <x:f>Shallow_Input!A86</x:f>
        <x:v>0</x:v>
      </x:c>
      <x:c r="B86" s="16" t="n">
        <x:f>Shallow_Input!B86</x:f>
        <x:v>0</x:v>
      </x:c>
      <x:c r="C86" s="16" t="n">
        <x:f>Shallow_Input!C86</x:f>
        <x:v>0</x:v>
      </x:c>
      <x:c r="D86" s="16" t="n">
        <x:f>Shallow_Input!D86</x:f>
        <x:v>0</x:v>
      </x:c>
      <x:c r="E86" s="16" t="e">
        <x:f>IF(B86="S",1,Shallow_Input!E86)</x:f>
      </x:c>
      <x:c r="F86" s="16" t="n">
        <x:f>Shallow_Input!F86</x:f>
        <x:v>0</x:v>
      </x:c>
      <x:c r="G86" s="16" t="e">
        <x:f>LET(B0,D86,L0,E86,D0,F86,t,Shallow_Input!G86,Cx,Shallow_Input!H86,Cy,Shallow_Input!I86,Ox,Shallow_Input!J86,Oy,IF(B86="S",0,Shallow_Input!K86),dw,Shallow_Input!L86,Qc,Shallow_Input!M86,g1u,Shallow_Input!R86,g1sat,Shallow_Input!S86,gc,Shallow_Input!Z86,g1ave,IF(dw&gt;=D0,g1u,IF(dw&lt;=0,g1sat,(g1u*dw+g1sat*(D0-dw))/D0)),g1ave*MAX(B0*L0-Cx*Cy,0)*MAX(D0-t,0)+gc*Cx*Cy*MAX(D0-t,0)+t*B0*L0*gc+Qc)</x:f>
      </x:c>
      <x:c r="H86" s="16" t="e">
        <x:f>LET(shape,B86,B0,D86,L0,E86,D0,F86,dw,Shallow_Input!L86,g1u,Shallow_Input!R86,g1sat,Shallow_Input!S86,gw,Shallow_Input!AA86,g2u,Shallow_Input!V86,g2sat,Shallow_Input!W86,analysis,C86,c2,Shallow_Input!X86,phi1,Shallow_Input!U86,phi2,Shallow_Input!Y86,Bef,R86,Nq,V86,Nc,W86,Ny,X86,Fcs,Y86,Fqs,Z86,Fys,AA86,Fcd,AB86,Fqd,AC86,Fyd,AD86,Fci,AE86,Fqi,AF86,Fyi,AG86,g1ave,IF(dw&gt;=D0,g1u,IF(dw&lt;=0,g1sat,(g1u*dw+g1sat*(D0-dw))/D0)),g1eff,IF(dw&gt;=D0,g1u,IF(dw&lt;=0,g1sat-gw,(g1u*dw+(g1sat-gw)*(D0-dw))/D0)),g2width,IF(shape="S",B0,Bef),g2ave,IF(dw&gt;=D0+g2width,g2u,IF(dw&lt;=D0,g2sat,(g2u*(dw-D0)+g2sat*(g2width-(dw-D0)))/g2width)),g2eff,IF(dw&gt;=D0+g2width,g2u,IF(dw&lt;=D0,g2sat-gw,(g2u*(dw-D0)+(g2sat-gw)*(g2width-(dw-D0)))/g2width)),g1used,IF(analysis="T",g1ave,g1eff),g2used,IF(analysis="T",g2ave,g2eff),q,g1used*D0,c2*Nc*Fcs*Fcd*Fci+q*Nq*Fqs*Fqd*Fqi+0.5*Bef*g2used*Ny*Fys*Fyd*Fyi)</x:f>
      </x:c>
      <x:c r="I86" s="16" t="e">
        <x:f>H86/Shallow_Input!AB86</x:f>
      </x:c>
      <x:c r="J86" s="16" t="e">
        <x:f>H86*T86</x:f>
      </x:c>
      <x:c r="K86" s="16" t="e">
        <x:f>I86*T86</x:f>
      </x:c>
      <x:c r="L86" s="16" t="e">
        <x:f>G86/(D86*E86)*(1+6*N86/D86+6*O86/E86)</x:f>
      </x:c>
      <x:c r="M86" s="16" t="e">
        <x:f>G86/(D86*E86)*(1-6*N86/D86-6*O86/E86)</x:f>
      </x:c>
      <x:c r="N86" s="16" t="e">
        <x:f>ABS((Shallow_Input!Z86*Shallow_Input!H86*Shallow_Input!I86*MAX(Shallow_Input!F86-Shallow_Input!G86,0)+Shallow_Input!M86)*Shallow_Input!J86+Shallow_Input!P86*Shallow_Input!F86+Shallow_Input!O86)/G86</x:f>
      </x:c>
      <x:c r="O86" s="16" t="e">
        <x:f>ABS(((Shallow_Input!Z86*Shallow_Input!H86*Shallow_Input!I86*MAX(Shallow_Input!F86-Shallow_Input!G86,0)+Shallow_Input!M86)*IF(B86="S",0,Shallow_Input!K86)+Shallow_Input!Q86*Shallow_Input!F86+IF(B86="S",0,Shallow_Input!N86))/G86)</x:f>
      </x:c>
      <x:c r="P86" s="16" t="e">
        <x:f>D86-2*N86</x:f>
      </x:c>
      <x:c r="Q86" s="16" t="e">
        <x:f>E86-2*O86</x:f>
      </x:c>
      <x:c r="R86" s="16" t="e">
        <x:f>MAX(P86,0.000001)</x:f>
      </x:c>
      <x:c r="S86" s="16" t="e">
        <x:f>IF(B86="S",1,MAX(Q86,0.000001))</x:f>
      </x:c>
      <x:c r="T86" s="16" t="e">
        <x:f>R86*S86</x:f>
      </x:c>
      <x:c r="U86" s="16" t="e">
        <x:f>DEGREES(ATAN(SQRT(Shallow_Input!P86^2+Shallow_Input!Q86^2)/G86))</x:f>
      </x:c>
      <x:c r="V86" s="16" t="n">
        <x:f>EXP(PI()*TAN(RADIANS(Shallow_Input!Y86)))*TAN(PI()/4+RADIANS(Shallow_Input!Y86)/2)^2</x:f>
        <x:v>0.9999999999999998</x:v>
      </x:c>
      <x:c r="W86" s="16" t="n">
        <x:f>IF(ABS(TAN(RADIANS(Shallow_Input!Y86)))&gt;0.0000001,(V86-1)/TAN(RADIANS(Shallow_Input!Y86)),5.14)</x:f>
        <x:v>5.14</x:v>
      </x:c>
      <x:c r="X86" s="16" t="n">
        <x:f>2*(V86+1)*TAN(RADIANS(Shallow_Input!Y86))</x:f>
        <x:v>0</x:v>
      </x:c>
      <x:c r="Y86" s="16" t="e">
        <x:f>IF(B86="S",1,1+R86/S86*V86/MAX(W86,0.000001))</x:f>
      </x:c>
      <x:c r="Z86" s="16" t="e">
        <x:f>IF(B86="S",1,1+R86/S86*TAN(RADIANS(Shallow_Input!Y86)))</x:f>
      </x:c>
      <x:c r="AA86" s="16" t="e">
        <x:f>IF(B86="S",1,1-0.4*R86/S86)</x:f>
      </x:c>
      <x:c r="AB86" s="16" t="e">
        <x:f>1+0.4*IF(F86/MAX(R86,0.000001)&lt;=1,F86/MAX(R86,0.000001),ATAN(F86/MAX(R86,0.000001)))</x:f>
      </x:c>
      <x:c r="AC86" s="16" t="e">
        <x:f>1+2*TAN(RADIANS(Shallow_Input!U86))*(1-SIN(RADIANS(Shallow_Input!U86)))^2*IF(F86/MAX(R86,0.000001)&lt;=1,F86/MAX(R86,0.000001),ATAN(F86/MAX(R86,0.000001)))</x:f>
      </x:c>
      <x:c r="AD86" s="16" t="n">
        <x:f>1</x:f>
        <x:v>1</x:v>
      </x:c>
      <x:c r="AE86" s="16" t="e">
        <x:f>(1-U86/90)^2</x:f>
      </x:c>
      <x:c r="AF86" s="16" t="e">
        <x:f>(1-U86/90)^2</x:f>
      </x:c>
      <x:c r="AG86" s="16" t="n">
        <x:f>IF(Shallow_Input!Y86&gt;0,(1-U86/Shallow_Input!Y86)^2,1)</x:f>
        <x:v>1</x:v>
      </x:c>
      <x:c r="AH86" s="16" t="e">
        <x:f>J86/MAX(G86,0.000001)</x:f>
      </x:c>
      <x:c r="AI86" s="16" t="e">
        <x:f>H86/MAX(L86,0.000001)</x:f>
      </x:c>
      <x:c r="AJ86" s="16" t="e">
        <x:f>IF(K86&gt;=G86,"OK","NG")</x:f>
      </x:c>
      <x:c r="AK86" s="16" t="e">
        <x:f>IF(I86&gt;=L86,"OK","NG")</x:f>
      </x:c>
      <x:c r="AL86" s="16" t="e">
        <x:f>IF(M86&gt;=0,"OK","NG")</x:f>
      </x:c>
      <x:c r="AM86" s="16" t="e">
        <x:f>IF(F86/MAX(R86,0.000001)&lt;=1,"Shallow","Deep")</x:f>
      </x:c>
    </x:row>
    <x:row r="87">
      <x:c r="A87" s="16" t="n">
        <x:f>Shallow_Input!A87</x:f>
        <x:v>0</x:v>
      </x:c>
      <x:c r="B87" s="16" t="n">
        <x:f>Shallow_Input!B87</x:f>
        <x:v>0</x:v>
      </x:c>
      <x:c r="C87" s="16" t="n">
        <x:f>Shallow_Input!C87</x:f>
        <x:v>0</x:v>
      </x:c>
      <x:c r="D87" s="16" t="n">
        <x:f>Shallow_Input!D87</x:f>
        <x:v>0</x:v>
      </x:c>
      <x:c r="E87" s="16" t="e">
        <x:f>IF(B87="S",1,Shallow_Input!E87)</x:f>
      </x:c>
      <x:c r="F87" s="16" t="n">
        <x:f>Shallow_Input!F87</x:f>
        <x:v>0</x:v>
      </x:c>
      <x:c r="G87" s="16" t="e">
        <x:f>LET(B0,D87,L0,E87,D0,F87,t,Shallow_Input!G87,Cx,Shallow_Input!H87,Cy,Shallow_Input!I87,Ox,Shallow_Input!J87,Oy,IF(B87="S",0,Shallow_Input!K87),dw,Shallow_Input!L87,Qc,Shallow_Input!M87,g1u,Shallow_Input!R87,g1sat,Shallow_Input!S87,gc,Shallow_Input!Z87,g1ave,IF(dw&gt;=D0,g1u,IF(dw&lt;=0,g1sat,(g1u*dw+g1sat*(D0-dw))/D0)),g1ave*MAX(B0*L0-Cx*Cy,0)*MAX(D0-t,0)+gc*Cx*Cy*MAX(D0-t,0)+t*B0*L0*gc+Qc)</x:f>
      </x:c>
      <x:c r="H87" s="16" t="e">
        <x:f>LET(shape,B87,B0,D87,L0,E87,D0,F87,dw,Shallow_Input!L87,g1u,Shallow_Input!R87,g1sat,Shallow_Input!S87,gw,Shallow_Input!AA87,g2u,Shallow_Input!V87,g2sat,Shallow_Input!W87,analysis,C87,c2,Shallow_Input!X87,phi1,Shallow_Input!U87,phi2,Shallow_Input!Y87,Bef,R87,Nq,V87,Nc,W87,Ny,X87,Fcs,Y87,Fqs,Z87,Fys,AA87,Fcd,AB87,Fqd,AC87,Fyd,AD87,Fci,AE87,Fqi,AF87,Fyi,AG87,g1ave,IF(dw&gt;=D0,g1u,IF(dw&lt;=0,g1sat,(g1u*dw+g1sat*(D0-dw))/D0)),g1eff,IF(dw&gt;=D0,g1u,IF(dw&lt;=0,g1sat-gw,(g1u*dw+(g1sat-gw)*(D0-dw))/D0)),g2width,IF(shape="S",B0,Bef),g2ave,IF(dw&gt;=D0+g2width,g2u,IF(dw&lt;=D0,g2sat,(g2u*(dw-D0)+g2sat*(g2width-(dw-D0)))/g2width)),g2eff,IF(dw&gt;=D0+g2width,g2u,IF(dw&lt;=D0,g2sat-gw,(g2u*(dw-D0)+(g2sat-gw)*(g2width-(dw-D0)))/g2width)),g1used,IF(analysis="T",g1ave,g1eff),g2used,IF(analysis="T",g2ave,g2eff),q,g1used*D0,c2*Nc*Fcs*Fcd*Fci+q*Nq*Fqs*Fqd*Fqi+0.5*Bef*g2used*Ny*Fys*Fyd*Fyi)</x:f>
      </x:c>
      <x:c r="I87" s="16" t="e">
        <x:f>H87/Shallow_Input!AB87</x:f>
      </x:c>
      <x:c r="J87" s="16" t="e">
        <x:f>H87*T87</x:f>
      </x:c>
      <x:c r="K87" s="16" t="e">
        <x:f>I87*T87</x:f>
      </x:c>
      <x:c r="L87" s="16" t="e">
        <x:f>G87/(D87*E87)*(1+6*N87/D87+6*O87/E87)</x:f>
      </x:c>
      <x:c r="M87" s="16" t="e">
        <x:f>G87/(D87*E87)*(1-6*N87/D87-6*O87/E87)</x:f>
      </x:c>
      <x:c r="N87" s="16" t="e">
        <x:f>ABS((Shallow_Input!Z87*Shallow_Input!H87*Shallow_Input!I87*MAX(Shallow_Input!F87-Shallow_Input!G87,0)+Shallow_Input!M87)*Shallow_Input!J87+Shallow_Input!P87*Shallow_Input!F87+Shallow_Input!O87)/G87</x:f>
      </x:c>
      <x:c r="O87" s="16" t="e">
        <x:f>ABS(((Shallow_Input!Z87*Shallow_Input!H87*Shallow_Input!I87*MAX(Shallow_Input!F87-Shallow_Input!G87,0)+Shallow_Input!M87)*IF(B87="S",0,Shallow_Input!K87)+Shallow_Input!Q87*Shallow_Input!F87+IF(B87="S",0,Shallow_Input!N87))/G87)</x:f>
      </x:c>
      <x:c r="P87" s="16" t="e">
        <x:f>D87-2*N87</x:f>
      </x:c>
      <x:c r="Q87" s="16" t="e">
        <x:f>E87-2*O87</x:f>
      </x:c>
      <x:c r="R87" s="16" t="e">
        <x:f>MAX(P87,0.000001)</x:f>
      </x:c>
      <x:c r="S87" s="16" t="e">
        <x:f>IF(B87="S",1,MAX(Q87,0.000001))</x:f>
      </x:c>
      <x:c r="T87" s="16" t="e">
        <x:f>R87*S87</x:f>
      </x:c>
      <x:c r="U87" s="16" t="e">
        <x:f>DEGREES(ATAN(SQRT(Shallow_Input!P87^2+Shallow_Input!Q87^2)/G87))</x:f>
      </x:c>
      <x:c r="V87" s="16" t="n">
        <x:f>EXP(PI()*TAN(RADIANS(Shallow_Input!Y87)))*TAN(PI()/4+RADIANS(Shallow_Input!Y87)/2)^2</x:f>
        <x:v>0.9999999999999998</x:v>
      </x:c>
      <x:c r="W87" s="16" t="n">
        <x:f>IF(ABS(TAN(RADIANS(Shallow_Input!Y87)))&gt;0.0000001,(V87-1)/TAN(RADIANS(Shallow_Input!Y87)),5.14)</x:f>
        <x:v>5.14</x:v>
      </x:c>
      <x:c r="X87" s="16" t="n">
        <x:f>2*(V87+1)*TAN(RADIANS(Shallow_Input!Y87))</x:f>
        <x:v>0</x:v>
      </x:c>
      <x:c r="Y87" s="16" t="e">
        <x:f>IF(B87="S",1,1+R87/S87*V87/MAX(W87,0.000001))</x:f>
      </x:c>
      <x:c r="Z87" s="16" t="e">
        <x:f>IF(B87="S",1,1+R87/S87*TAN(RADIANS(Shallow_Input!Y87)))</x:f>
      </x:c>
      <x:c r="AA87" s="16" t="e">
        <x:f>IF(B87="S",1,1-0.4*R87/S87)</x:f>
      </x:c>
      <x:c r="AB87" s="16" t="e">
        <x:f>1+0.4*IF(F87/MAX(R87,0.000001)&lt;=1,F87/MAX(R87,0.000001),ATAN(F87/MAX(R87,0.000001)))</x:f>
      </x:c>
      <x:c r="AC87" s="16" t="e">
        <x:f>1+2*TAN(RADIANS(Shallow_Input!U87))*(1-SIN(RADIANS(Shallow_Input!U87)))^2*IF(F87/MAX(R87,0.000001)&lt;=1,F87/MAX(R87,0.000001),ATAN(F87/MAX(R87,0.000001)))</x:f>
      </x:c>
      <x:c r="AD87" s="16" t="n">
        <x:f>1</x:f>
        <x:v>1</x:v>
      </x:c>
      <x:c r="AE87" s="16" t="e">
        <x:f>(1-U87/90)^2</x:f>
      </x:c>
      <x:c r="AF87" s="16" t="e">
        <x:f>(1-U87/90)^2</x:f>
      </x:c>
      <x:c r="AG87" s="16" t="n">
        <x:f>IF(Shallow_Input!Y87&gt;0,(1-U87/Shallow_Input!Y87)^2,1)</x:f>
        <x:v>1</x:v>
      </x:c>
      <x:c r="AH87" s="16" t="e">
        <x:f>J87/MAX(G87,0.000001)</x:f>
      </x:c>
      <x:c r="AI87" s="16" t="e">
        <x:f>H87/MAX(L87,0.000001)</x:f>
      </x:c>
      <x:c r="AJ87" s="16" t="e">
        <x:f>IF(K87&gt;=G87,"OK","NG")</x:f>
      </x:c>
      <x:c r="AK87" s="16" t="e">
        <x:f>IF(I87&gt;=L87,"OK","NG")</x:f>
      </x:c>
      <x:c r="AL87" s="16" t="e">
        <x:f>IF(M87&gt;=0,"OK","NG")</x:f>
      </x:c>
      <x:c r="AM87" s="16" t="e">
        <x:f>IF(F87/MAX(R87,0.000001)&lt;=1,"Shallow","Deep")</x:f>
      </x:c>
    </x:row>
    <x:row r="88">
      <x:c r="A88" s="16" t="n">
        <x:f>Shallow_Input!A88</x:f>
        <x:v>0</x:v>
      </x:c>
      <x:c r="B88" s="16" t="n">
        <x:f>Shallow_Input!B88</x:f>
        <x:v>0</x:v>
      </x:c>
      <x:c r="C88" s="16" t="n">
        <x:f>Shallow_Input!C88</x:f>
        <x:v>0</x:v>
      </x:c>
      <x:c r="D88" s="16" t="n">
        <x:f>Shallow_Input!D88</x:f>
        <x:v>0</x:v>
      </x:c>
      <x:c r="E88" s="16" t="e">
        <x:f>IF(B88="S",1,Shallow_Input!E88)</x:f>
      </x:c>
      <x:c r="F88" s="16" t="n">
        <x:f>Shallow_Input!F88</x:f>
        <x:v>0</x:v>
      </x:c>
      <x:c r="G88" s="16" t="e">
        <x:f>LET(B0,D88,L0,E88,D0,F88,t,Shallow_Input!G88,Cx,Shallow_Input!H88,Cy,Shallow_Input!I88,Ox,Shallow_Input!J88,Oy,IF(B88="S",0,Shallow_Input!K88),dw,Shallow_Input!L88,Qc,Shallow_Input!M88,g1u,Shallow_Input!R88,g1sat,Shallow_Input!S88,gc,Shallow_Input!Z88,g1ave,IF(dw&gt;=D0,g1u,IF(dw&lt;=0,g1sat,(g1u*dw+g1sat*(D0-dw))/D0)),g1ave*MAX(B0*L0-Cx*Cy,0)*MAX(D0-t,0)+gc*Cx*Cy*MAX(D0-t,0)+t*B0*L0*gc+Qc)</x:f>
      </x:c>
      <x:c r="H88" s="16" t="e">
        <x:f>LET(shape,B88,B0,D88,L0,E88,D0,F88,dw,Shallow_Input!L88,g1u,Shallow_Input!R88,g1sat,Shallow_Input!S88,gw,Shallow_Input!AA88,g2u,Shallow_Input!V88,g2sat,Shallow_Input!W88,analysis,C88,c2,Shallow_Input!X88,phi1,Shallow_Input!U88,phi2,Shallow_Input!Y88,Bef,R88,Nq,V88,Nc,W88,Ny,X88,Fcs,Y88,Fqs,Z88,Fys,AA88,Fcd,AB88,Fqd,AC88,Fyd,AD88,Fci,AE88,Fqi,AF88,Fyi,AG88,g1ave,IF(dw&gt;=D0,g1u,IF(dw&lt;=0,g1sat,(g1u*dw+g1sat*(D0-dw))/D0)),g1eff,IF(dw&gt;=D0,g1u,IF(dw&lt;=0,g1sat-gw,(g1u*dw+(g1sat-gw)*(D0-dw))/D0)),g2width,IF(shape="S",B0,Bef),g2ave,IF(dw&gt;=D0+g2width,g2u,IF(dw&lt;=D0,g2sat,(g2u*(dw-D0)+g2sat*(g2width-(dw-D0)))/g2width)),g2eff,IF(dw&gt;=D0+g2width,g2u,IF(dw&lt;=D0,g2sat-gw,(g2u*(dw-D0)+(g2sat-gw)*(g2width-(dw-D0)))/g2width)),g1used,IF(analysis="T",g1ave,g1eff),g2used,IF(analysis="T",g2ave,g2eff),q,g1used*D0,c2*Nc*Fcs*Fcd*Fci+q*Nq*Fqs*Fqd*Fqi+0.5*Bef*g2used*Ny*Fys*Fyd*Fyi)</x:f>
      </x:c>
      <x:c r="I88" s="16" t="e">
        <x:f>H88/Shallow_Input!AB88</x:f>
      </x:c>
      <x:c r="J88" s="16" t="e">
        <x:f>H88*T88</x:f>
      </x:c>
      <x:c r="K88" s="16" t="e">
        <x:f>I88*T88</x:f>
      </x:c>
      <x:c r="L88" s="16" t="e">
        <x:f>G88/(D88*E88)*(1+6*N88/D88+6*O88/E88)</x:f>
      </x:c>
      <x:c r="M88" s="16" t="e">
        <x:f>G88/(D88*E88)*(1-6*N88/D88-6*O88/E88)</x:f>
      </x:c>
      <x:c r="N88" s="16" t="e">
        <x:f>ABS((Shallow_Input!Z88*Shallow_Input!H88*Shallow_Input!I88*MAX(Shallow_Input!F88-Shallow_Input!G88,0)+Shallow_Input!M88)*Shallow_Input!J88+Shallow_Input!P88*Shallow_Input!F88+Shallow_Input!O88)/G88</x:f>
      </x:c>
      <x:c r="O88" s="16" t="e">
        <x:f>ABS(((Shallow_Input!Z88*Shallow_Input!H88*Shallow_Input!I88*MAX(Shallow_Input!F88-Shallow_Input!G88,0)+Shallow_Input!M88)*IF(B88="S",0,Shallow_Input!K88)+Shallow_Input!Q88*Shallow_Input!F88+IF(B88="S",0,Shallow_Input!N88))/G88)</x:f>
      </x:c>
      <x:c r="P88" s="16" t="e">
        <x:f>D88-2*N88</x:f>
      </x:c>
      <x:c r="Q88" s="16" t="e">
        <x:f>E88-2*O88</x:f>
      </x:c>
      <x:c r="R88" s="16" t="e">
        <x:f>MAX(P88,0.000001)</x:f>
      </x:c>
      <x:c r="S88" s="16" t="e">
        <x:f>IF(B88="S",1,MAX(Q88,0.000001))</x:f>
      </x:c>
      <x:c r="T88" s="16" t="e">
        <x:f>R88*S88</x:f>
      </x:c>
      <x:c r="U88" s="16" t="e">
        <x:f>DEGREES(ATAN(SQRT(Shallow_Input!P88^2+Shallow_Input!Q88^2)/G88))</x:f>
      </x:c>
      <x:c r="V88" s="16" t="n">
        <x:f>EXP(PI()*TAN(RADIANS(Shallow_Input!Y88)))*TAN(PI()/4+RADIANS(Shallow_Input!Y88)/2)^2</x:f>
        <x:v>0.9999999999999998</x:v>
      </x:c>
      <x:c r="W88" s="16" t="n">
        <x:f>IF(ABS(TAN(RADIANS(Shallow_Input!Y88)))&gt;0.0000001,(V88-1)/TAN(RADIANS(Shallow_Input!Y88)),5.14)</x:f>
        <x:v>5.14</x:v>
      </x:c>
      <x:c r="X88" s="16" t="n">
        <x:f>2*(V88+1)*TAN(RADIANS(Shallow_Input!Y88))</x:f>
        <x:v>0</x:v>
      </x:c>
      <x:c r="Y88" s="16" t="e">
        <x:f>IF(B88="S",1,1+R88/S88*V88/MAX(W88,0.000001))</x:f>
      </x:c>
      <x:c r="Z88" s="16" t="e">
        <x:f>IF(B88="S",1,1+R88/S88*TAN(RADIANS(Shallow_Input!Y88)))</x:f>
      </x:c>
      <x:c r="AA88" s="16" t="e">
        <x:f>IF(B88="S",1,1-0.4*R88/S88)</x:f>
      </x:c>
      <x:c r="AB88" s="16" t="e">
        <x:f>1+0.4*IF(F88/MAX(R88,0.000001)&lt;=1,F88/MAX(R88,0.000001),ATAN(F88/MAX(R88,0.000001)))</x:f>
      </x:c>
      <x:c r="AC88" s="16" t="e">
        <x:f>1+2*TAN(RADIANS(Shallow_Input!U88))*(1-SIN(RADIANS(Shallow_Input!U88)))^2*IF(F88/MAX(R88,0.000001)&lt;=1,F88/MAX(R88,0.000001),ATAN(F88/MAX(R88,0.000001)))</x:f>
      </x:c>
      <x:c r="AD88" s="16" t="n">
        <x:f>1</x:f>
        <x:v>1</x:v>
      </x:c>
      <x:c r="AE88" s="16" t="e">
        <x:f>(1-U88/90)^2</x:f>
      </x:c>
      <x:c r="AF88" s="16" t="e">
        <x:f>(1-U88/90)^2</x:f>
      </x:c>
      <x:c r="AG88" s="16" t="n">
        <x:f>IF(Shallow_Input!Y88&gt;0,(1-U88/Shallow_Input!Y88)^2,1)</x:f>
        <x:v>1</x:v>
      </x:c>
      <x:c r="AH88" s="16" t="e">
        <x:f>J88/MAX(G88,0.000001)</x:f>
      </x:c>
      <x:c r="AI88" s="16" t="e">
        <x:f>H88/MAX(L88,0.000001)</x:f>
      </x:c>
      <x:c r="AJ88" s="16" t="e">
        <x:f>IF(K88&gt;=G88,"OK","NG")</x:f>
      </x:c>
      <x:c r="AK88" s="16" t="e">
        <x:f>IF(I88&gt;=L88,"OK","NG")</x:f>
      </x:c>
      <x:c r="AL88" s="16" t="e">
        <x:f>IF(M88&gt;=0,"OK","NG")</x:f>
      </x:c>
      <x:c r="AM88" s="16" t="e">
        <x:f>IF(F88/MAX(R88,0.000001)&lt;=1,"Shallow","Deep")</x:f>
      </x:c>
    </x:row>
    <x:row r="89">
      <x:c r="A89" s="16" t="n">
        <x:f>Shallow_Input!A89</x:f>
        <x:v>0</x:v>
      </x:c>
      <x:c r="B89" s="16" t="n">
        <x:f>Shallow_Input!B89</x:f>
        <x:v>0</x:v>
      </x:c>
      <x:c r="C89" s="16" t="n">
        <x:f>Shallow_Input!C89</x:f>
        <x:v>0</x:v>
      </x:c>
      <x:c r="D89" s="16" t="n">
        <x:f>Shallow_Input!D89</x:f>
        <x:v>0</x:v>
      </x:c>
      <x:c r="E89" s="16" t="e">
        <x:f>IF(B89="S",1,Shallow_Input!E89)</x:f>
      </x:c>
      <x:c r="F89" s="16" t="n">
        <x:f>Shallow_Input!F89</x:f>
        <x:v>0</x:v>
      </x:c>
      <x:c r="G89" s="16" t="e">
        <x:f>LET(B0,D89,L0,E89,D0,F89,t,Shallow_Input!G89,Cx,Shallow_Input!H89,Cy,Shallow_Input!I89,Ox,Shallow_Input!J89,Oy,IF(B89="S",0,Shallow_Input!K89),dw,Shallow_Input!L89,Qc,Shallow_Input!M89,g1u,Shallow_Input!R89,g1sat,Shallow_Input!S89,gc,Shallow_Input!Z89,g1ave,IF(dw&gt;=D0,g1u,IF(dw&lt;=0,g1sat,(g1u*dw+g1sat*(D0-dw))/D0)),g1ave*MAX(B0*L0-Cx*Cy,0)*MAX(D0-t,0)+gc*Cx*Cy*MAX(D0-t,0)+t*B0*L0*gc+Qc)</x:f>
      </x:c>
      <x:c r="H89" s="16" t="e">
        <x:f>LET(shape,B89,B0,D89,L0,E89,D0,F89,dw,Shallow_Input!L89,g1u,Shallow_Input!R89,g1sat,Shallow_Input!S89,gw,Shallow_Input!AA89,g2u,Shallow_Input!V89,g2sat,Shallow_Input!W89,analysis,C89,c2,Shallow_Input!X89,phi1,Shallow_Input!U89,phi2,Shallow_Input!Y89,Bef,R89,Nq,V89,Nc,W89,Ny,X89,Fcs,Y89,Fqs,Z89,Fys,AA89,Fcd,AB89,Fqd,AC89,Fyd,AD89,Fci,AE89,Fqi,AF89,Fyi,AG89,g1ave,IF(dw&gt;=D0,g1u,IF(dw&lt;=0,g1sat,(g1u*dw+g1sat*(D0-dw))/D0)),g1eff,IF(dw&gt;=D0,g1u,IF(dw&lt;=0,g1sat-gw,(g1u*dw+(g1sat-gw)*(D0-dw))/D0)),g2width,IF(shape="S",B0,Bef),g2ave,IF(dw&gt;=D0+g2width,g2u,IF(dw&lt;=D0,g2sat,(g2u*(dw-D0)+g2sat*(g2width-(dw-D0)))/g2width)),g2eff,IF(dw&gt;=D0+g2width,g2u,IF(dw&lt;=D0,g2sat-gw,(g2u*(dw-D0)+(g2sat-gw)*(g2width-(dw-D0)))/g2width)),g1used,IF(analysis="T",g1ave,g1eff),g2used,IF(analysis="T",g2ave,g2eff),q,g1used*D0,c2*Nc*Fcs*Fcd*Fci+q*Nq*Fqs*Fqd*Fqi+0.5*Bef*g2used*Ny*Fys*Fyd*Fyi)</x:f>
      </x:c>
      <x:c r="I89" s="16" t="e">
        <x:f>H89/Shallow_Input!AB89</x:f>
      </x:c>
      <x:c r="J89" s="16" t="e">
        <x:f>H89*T89</x:f>
      </x:c>
      <x:c r="K89" s="16" t="e">
        <x:f>I89*T89</x:f>
      </x:c>
      <x:c r="L89" s="16" t="e">
        <x:f>G89/(D89*E89)*(1+6*N89/D89+6*O89/E89)</x:f>
      </x:c>
      <x:c r="M89" s="16" t="e">
        <x:f>G89/(D89*E89)*(1-6*N89/D89-6*O89/E89)</x:f>
      </x:c>
      <x:c r="N89" s="16" t="e">
        <x:f>ABS((Shallow_Input!Z89*Shallow_Input!H89*Shallow_Input!I89*MAX(Shallow_Input!F89-Shallow_Input!G89,0)+Shallow_Input!M89)*Shallow_Input!J89+Shallow_Input!P89*Shallow_Input!F89+Shallow_Input!O89)/G89</x:f>
      </x:c>
      <x:c r="O89" s="16" t="e">
        <x:f>ABS(((Shallow_Input!Z89*Shallow_Input!H89*Shallow_Input!I89*MAX(Shallow_Input!F89-Shallow_Input!G89,0)+Shallow_Input!M89)*IF(B89="S",0,Shallow_Input!K89)+Shallow_Input!Q89*Shallow_Input!F89+IF(B89="S",0,Shallow_Input!N89))/G89)</x:f>
      </x:c>
      <x:c r="P89" s="16" t="e">
        <x:f>D89-2*N89</x:f>
      </x:c>
      <x:c r="Q89" s="16" t="e">
        <x:f>E89-2*O89</x:f>
      </x:c>
      <x:c r="R89" s="16" t="e">
        <x:f>MAX(P89,0.000001)</x:f>
      </x:c>
      <x:c r="S89" s="16" t="e">
        <x:f>IF(B89="S",1,MAX(Q89,0.000001))</x:f>
      </x:c>
      <x:c r="T89" s="16" t="e">
        <x:f>R89*S89</x:f>
      </x:c>
      <x:c r="U89" s="16" t="e">
        <x:f>DEGREES(ATAN(SQRT(Shallow_Input!P89^2+Shallow_Input!Q89^2)/G89))</x:f>
      </x:c>
      <x:c r="V89" s="16" t="n">
        <x:f>EXP(PI()*TAN(RADIANS(Shallow_Input!Y89)))*TAN(PI()/4+RADIANS(Shallow_Input!Y89)/2)^2</x:f>
        <x:v>0.9999999999999998</x:v>
      </x:c>
      <x:c r="W89" s="16" t="n">
        <x:f>IF(ABS(TAN(RADIANS(Shallow_Input!Y89)))&gt;0.0000001,(V89-1)/TAN(RADIANS(Shallow_Input!Y89)),5.14)</x:f>
        <x:v>5.14</x:v>
      </x:c>
      <x:c r="X89" s="16" t="n">
        <x:f>2*(V89+1)*TAN(RADIANS(Shallow_Input!Y89))</x:f>
        <x:v>0</x:v>
      </x:c>
      <x:c r="Y89" s="16" t="e">
        <x:f>IF(B89="S",1,1+R89/S89*V89/MAX(W89,0.000001))</x:f>
      </x:c>
      <x:c r="Z89" s="16" t="e">
        <x:f>IF(B89="S",1,1+R89/S89*TAN(RADIANS(Shallow_Input!Y89)))</x:f>
      </x:c>
      <x:c r="AA89" s="16" t="e">
        <x:f>IF(B89="S",1,1-0.4*R89/S89)</x:f>
      </x:c>
      <x:c r="AB89" s="16" t="e">
        <x:f>1+0.4*IF(F89/MAX(R89,0.000001)&lt;=1,F89/MAX(R89,0.000001),ATAN(F89/MAX(R89,0.000001)))</x:f>
      </x:c>
      <x:c r="AC89" s="16" t="e">
        <x:f>1+2*TAN(RADIANS(Shallow_Input!U89))*(1-SIN(RADIANS(Shallow_Input!U89)))^2*IF(F89/MAX(R89,0.000001)&lt;=1,F89/MAX(R89,0.000001),ATAN(F89/MAX(R89,0.000001)))</x:f>
      </x:c>
      <x:c r="AD89" s="16" t="n">
        <x:f>1</x:f>
        <x:v>1</x:v>
      </x:c>
      <x:c r="AE89" s="16" t="e">
        <x:f>(1-U89/90)^2</x:f>
      </x:c>
      <x:c r="AF89" s="16" t="e">
        <x:f>(1-U89/90)^2</x:f>
      </x:c>
      <x:c r="AG89" s="16" t="n">
        <x:f>IF(Shallow_Input!Y89&gt;0,(1-U89/Shallow_Input!Y89)^2,1)</x:f>
        <x:v>1</x:v>
      </x:c>
      <x:c r="AH89" s="16" t="e">
        <x:f>J89/MAX(G89,0.000001)</x:f>
      </x:c>
      <x:c r="AI89" s="16" t="e">
        <x:f>H89/MAX(L89,0.000001)</x:f>
      </x:c>
      <x:c r="AJ89" s="16" t="e">
        <x:f>IF(K89&gt;=G89,"OK","NG")</x:f>
      </x:c>
      <x:c r="AK89" s="16" t="e">
        <x:f>IF(I89&gt;=L89,"OK","NG")</x:f>
      </x:c>
      <x:c r="AL89" s="16" t="e">
        <x:f>IF(M89&gt;=0,"OK","NG")</x:f>
      </x:c>
      <x:c r="AM89" s="16" t="e">
        <x:f>IF(F89/MAX(R89,0.000001)&lt;=1,"Shallow","Deep")</x:f>
      </x:c>
    </x:row>
    <x:row r="90">
      <x:c r="A90" s="16" t="n">
        <x:f>Shallow_Input!A90</x:f>
        <x:v>0</x:v>
      </x:c>
      <x:c r="B90" s="16" t="n">
        <x:f>Shallow_Input!B90</x:f>
        <x:v>0</x:v>
      </x:c>
      <x:c r="C90" s="16" t="n">
        <x:f>Shallow_Input!C90</x:f>
        <x:v>0</x:v>
      </x:c>
      <x:c r="D90" s="16" t="n">
        <x:f>Shallow_Input!D90</x:f>
        <x:v>0</x:v>
      </x:c>
      <x:c r="E90" s="16" t="e">
        <x:f>IF(B90="S",1,Shallow_Input!E90)</x:f>
      </x:c>
      <x:c r="F90" s="16" t="n">
        <x:f>Shallow_Input!F90</x:f>
        <x:v>0</x:v>
      </x:c>
      <x:c r="G90" s="16" t="e">
        <x:f>LET(B0,D90,L0,E90,D0,F90,t,Shallow_Input!G90,Cx,Shallow_Input!H90,Cy,Shallow_Input!I90,Ox,Shallow_Input!J90,Oy,IF(B90="S",0,Shallow_Input!K90),dw,Shallow_Input!L90,Qc,Shallow_Input!M90,g1u,Shallow_Input!R90,g1sat,Shallow_Input!S90,gc,Shallow_Input!Z90,g1ave,IF(dw&gt;=D0,g1u,IF(dw&lt;=0,g1sat,(g1u*dw+g1sat*(D0-dw))/D0)),g1ave*MAX(B0*L0-Cx*Cy,0)*MAX(D0-t,0)+gc*Cx*Cy*MAX(D0-t,0)+t*B0*L0*gc+Qc)</x:f>
      </x:c>
      <x:c r="H90" s="16" t="e">
        <x:f>LET(shape,B90,B0,D90,L0,E90,D0,F90,dw,Shallow_Input!L90,g1u,Shallow_Input!R90,g1sat,Shallow_Input!S90,gw,Shallow_Input!AA90,g2u,Shallow_Input!V90,g2sat,Shallow_Input!W90,analysis,C90,c2,Shallow_Input!X90,phi1,Shallow_Input!U90,phi2,Shallow_Input!Y90,Bef,R90,Nq,V90,Nc,W90,Ny,X90,Fcs,Y90,Fqs,Z90,Fys,AA90,Fcd,AB90,Fqd,AC90,Fyd,AD90,Fci,AE90,Fqi,AF90,Fyi,AG90,g1ave,IF(dw&gt;=D0,g1u,IF(dw&lt;=0,g1sat,(g1u*dw+g1sat*(D0-dw))/D0)),g1eff,IF(dw&gt;=D0,g1u,IF(dw&lt;=0,g1sat-gw,(g1u*dw+(g1sat-gw)*(D0-dw))/D0)),g2width,IF(shape="S",B0,Bef),g2ave,IF(dw&gt;=D0+g2width,g2u,IF(dw&lt;=D0,g2sat,(g2u*(dw-D0)+g2sat*(g2width-(dw-D0)))/g2width)),g2eff,IF(dw&gt;=D0+g2width,g2u,IF(dw&lt;=D0,g2sat-gw,(g2u*(dw-D0)+(g2sat-gw)*(g2width-(dw-D0)))/g2width)),g1used,IF(analysis="T",g1ave,g1eff),g2used,IF(analysis="T",g2ave,g2eff),q,g1used*D0,c2*Nc*Fcs*Fcd*Fci+q*Nq*Fqs*Fqd*Fqi+0.5*Bef*g2used*Ny*Fys*Fyd*Fyi)</x:f>
      </x:c>
      <x:c r="I90" s="16" t="e">
        <x:f>H90/Shallow_Input!AB90</x:f>
      </x:c>
      <x:c r="J90" s="16" t="e">
        <x:f>H90*T90</x:f>
      </x:c>
      <x:c r="K90" s="16" t="e">
        <x:f>I90*T90</x:f>
      </x:c>
      <x:c r="L90" s="16" t="e">
        <x:f>G90/(D90*E90)*(1+6*N90/D90+6*O90/E90)</x:f>
      </x:c>
      <x:c r="M90" s="16" t="e">
        <x:f>G90/(D90*E90)*(1-6*N90/D90-6*O90/E90)</x:f>
      </x:c>
      <x:c r="N90" s="16" t="e">
        <x:f>ABS((Shallow_Input!Z90*Shallow_Input!H90*Shallow_Input!I90*MAX(Shallow_Input!F90-Shallow_Input!G90,0)+Shallow_Input!M90)*Shallow_Input!J90+Shallow_Input!P90*Shallow_Input!F90+Shallow_Input!O90)/G90</x:f>
      </x:c>
      <x:c r="O90" s="16" t="e">
        <x:f>ABS(((Shallow_Input!Z90*Shallow_Input!H90*Shallow_Input!I90*MAX(Shallow_Input!F90-Shallow_Input!G90,0)+Shallow_Input!M90)*IF(B90="S",0,Shallow_Input!K90)+Shallow_Input!Q90*Shallow_Input!F90+IF(B90="S",0,Shallow_Input!N90))/G90)</x:f>
      </x:c>
      <x:c r="P90" s="16" t="e">
        <x:f>D90-2*N90</x:f>
      </x:c>
      <x:c r="Q90" s="16" t="e">
        <x:f>E90-2*O90</x:f>
      </x:c>
      <x:c r="R90" s="16" t="e">
        <x:f>MAX(P90,0.000001)</x:f>
      </x:c>
      <x:c r="S90" s="16" t="e">
        <x:f>IF(B90="S",1,MAX(Q90,0.000001))</x:f>
      </x:c>
      <x:c r="T90" s="16" t="e">
        <x:f>R90*S90</x:f>
      </x:c>
      <x:c r="U90" s="16" t="e">
        <x:f>DEGREES(ATAN(SQRT(Shallow_Input!P90^2+Shallow_Input!Q90^2)/G90))</x:f>
      </x:c>
      <x:c r="V90" s="16" t="n">
        <x:f>EXP(PI()*TAN(RADIANS(Shallow_Input!Y90)))*TAN(PI()/4+RADIANS(Shallow_Input!Y90)/2)^2</x:f>
        <x:v>0.9999999999999998</x:v>
      </x:c>
      <x:c r="W90" s="16" t="n">
        <x:f>IF(ABS(TAN(RADIANS(Shallow_Input!Y90)))&gt;0.0000001,(V90-1)/TAN(RADIANS(Shallow_Input!Y90)),5.14)</x:f>
        <x:v>5.14</x:v>
      </x:c>
      <x:c r="X90" s="16" t="n">
        <x:f>2*(V90+1)*TAN(RADIANS(Shallow_Input!Y90))</x:f>
        <x:v>0</x:v>
      </x:c>
      <x:c r="Y90" s="16" t="e">
        <x:f>IF(B90="S",1,1+R90/S90*V90/MAX(W90,0.000001))</x:f>
      </x:c>
      <x:c r="Z90" s="16" t="e">
        <x:f>IF(B90="S",1,1+R90/S90*TAN(RADIANS(Shallow_Input!Y90)))</x:f>
      </x:c>
      <x:c r="AA90" s="16" t="e">
        <x:f>IF(B90="S",1,1-0.4*R90/S90)</x:f>
      </x:c>
      <x:c r="AB90" s="16" t="e">
        <x:f>1+0.4*IF(F90/MAX(R90,0.000001)&lt;=1,F90/MAX(R90,0.000001),ATAN(F90/MAX(R90,0.000001)))</x:f>
      </x:c>
      <x:c r="AC90" s="16" t="e">
        <x:f>1+2*TAN(RADIANS(Shallow_Input!U90))*(1-SIN(RADIANS(Shallow_Input!U90)))^2*IF(F90/MAX(R90,0.000001)&lt;=1,F90/MAX(R90,0.000001),ATAN(F90/MAX(R90,0.000001)))</x:f>
      </x:c>
      <x:c r="AD90" s="16" t="n">
        <x:f>1</x:f>
        <x:v>1</x:v>
      </x:c>
      <x:c r="AE90" s="16" t="e">
        <x:f>(1-U90/90)^2</x:f>
      </x:c>
      <x:c r="AF90" s="16" t="e">
        <x:f>(1-U90/90)^2</x:f>
      </x:c>
      <x:c r="AG90" s="16" t="n">
        <x:f>IF(Shallow_Input!Y90&gt;0,(1-U90/Shallow_Input!Y90)^2,1)</x:f>
        <x:v>1</x:v>
      </x:c>
      <x:c r="AH90" s="16" t="e">
        <x:f>J90/MAX(G90,0.000001)</x:f>
      </x:c>
      <x:c r="AI90" s="16" t="e">
        <x:f>H90/MAX(L90,0.000001)</x:f>
      </x:c>
      <x:c r="AJ90" s="16" t="e">
        <x:f>IF(K90&gt;=G90,"OK","NG")</x:f>
      </x:c>
      <x:c r="AK90" s="16" t="e">
        <x:f>IF(I90&gt;=L90,"OK","NG")</x:f>
      </x:c>
      <x:c r="AL90" s="16" t="e">
        <x:f>IF(M90&gt;=0,"OK","NG")</x:f>
      </x:c>
      <x:c r="AM90" s="16" t="e">
        <x:f>IF(F90/MAX(R90,0.000001)&lt;=1,"Shallow","Deep")</x:f>
      </x:c>
    </x:row>
    <x:row r="91">
      <x:c r="A91" s="16" t="n">
        <x:f>Shallow_Input!A91</x:f>
        <x:v>0</x:v>
      </x:c>
      <x:c r="B91" s="16" t="n">
        <x:f>Shallow_Input!B91</x:f>
        <x:v>0</x:v>
      </x:c>
      <x:c r="C91" s="16" t="n">
        <x:f>Shallow_Input!C91</x:f>
        <x:v>0</x:v>
      </x:c>
      <x:c r="D91" s="16" t="n">
        <x:f>Shallow_Input!D91</x:f>
        <x:v>0</x:v>
      </x:c>
      <x:c r="E91" s="16" t="e">
        <x:f>IF(B91="S",1,Shallow_Input!E91)</x:f>
      </x:c>
      <x:c r="F91" s="16" t="n">
        <x:f>Shallow_Input!F91</x:f>
        <x:v>0</x:v>
      </x:c>
      <x:c r="G91" s="16" t="e">
        <x:f>LET(B0,D91,L0,E91,D0,F91,t,Shallow_Input!G91,Cx,Shallow_Input!H91,Cy,Shallow_Input!I91,Ox,Shallow_Input!J91,Oy,IF(B91="S",0,Shallow_Input!K91),dw,Shallow_Input!L91,Qc,Shallow_Input!M91,g1u,Shallow_Input!R91,g1sat,Shallow_Input!S91,gc,Shallow_Input!Z91,g1ave,IF(dw&gt;=D0,g1u,IF(dw&lt;=0,g1sat,(g1u*dw+g1sat*(D0-dw))/D0)),g1ave*MAX(B0*L0-Cx*Cy,0)*MAX(D0-t,0)+gc*Cx*Cy*MAX(D0-t,0)+t*B0*L0*gc+Qc)</x:f>
      </x:c>
      <x:c r="H91" s="16" t="e">
        <x:f>LET(shape,B91,B0,D91,L0,E91,D0,F91,dw,Shallow_Input!L91,g1u,Shallow_Input!R91,g1sat,Shallow_Input!S91,gw,Shallow_Input!AA91,g2u,Shallow_Input!V91,g2sat,Shallow_Input!W91,analysis,C91,c2,Shallow_Input!X91,phi1,Shallow_Input!U91,phi2,Shallow_Input!Y91,Bef,R91,Nq,V91,Nc,W91,Ny,X91,Fcs,Y91,Fqs,Z91,Fys,AA91,Fcd,AB91,Fqd,AC91,Fyd,AD91,Fci,AE91,Fqi,AF91,Fyi,AG91,g1ave,IF(dw&gt;=D0,g1u,IF(dw&lt;=0,g1sat,(g1u*dw+g1sat*(D0-dw))/D0)),g1eff,IF(dw&gt;=D0,g1u,IF(dw&lt;=0,g1sat-gw,(g1u*dw+(g1sat-gw)*(D0-dw))/D0)),g2width,IF(shape="S",B0,Bef),g2ave,IF(dw&gt;=D0+g2width,g2u,IF(dw&lt;=D0,g2sat,(g2u*(dw-D0)+g2sat*(g2width-(dw-D0)))/g2width)),g2eff,IF(dw&gt;=D0+g2width,g2u,IF(dw&lt;=D0,g2sat-gw,(g2u*(dw-D0)+(g2sat-gw)*(g2width-(dw-D0)))/g2width)),g1used,IF(analysis="T",g1ave,g1eff),g2used,IF(analysis="T",g2ave,g2eff),q,g1used*D0,c2*Nc*Fcs*Fcd*Fci+q*Nq*Fqs*Fqd*Fqi+0.5*Bef*g2used*Ny*Fys*Fyd*Fyi)</x:f>
      </x:c>
      <x:c r="I91" s="16" t="e">
        <x:f>H91/Shallow_Input!AB91</x:f>
      </x:c>
      <x:c r="J91" s="16" t="e">
        <x:f>H91*T91</x:f>
      </x:c>
      <x:c r="K91" s="16" t="e">
        <x:f>I91*T91</x:f>
      </x:c>
      <x:c r="L91" s="16" t="e">
        <x:f>G91/(D91*E91)*(1+6*N91/D91+6*O91/E91)</x:f>
      </x:c>
      <x:c r="M91" s="16" t="e">
        <x:f>G91/(D91*E91)*(1-6*N91/D91-6*O91/E91)</x:f>
      </x:c>
      <x:c r="N91" s="16" t="e">
        <x:f>ABS((Shallow_Input!Z91*Shallow_Input!H91*Shallow_Input!I91*MAX(Shallow_Input!F91-Shallow_Input!G91,0)+Shallow_Input!M91)*Shallow_Input!J91+Shallow_Input!P91*Shallow_Input!F91+Shallow_Input!O91)/G91</x:f>
      </x:c>
      <x:c r="O91" s="16" t="e">
        <x:f>ABS(((Shallow_Input!Z91*Shallow_Input!H91*Shallow_Input!I91*MAX(Shallow_Input!F91-Shallow_Input!G91,0)+Shallow_Input!M91)*IF(B91="S",0,Shallow_Input!K91)+Shallow_Input!Q91*Shallow_Input!F91+IF(B91="S",0,Shallow_Input!N91))/G91)</x:f>
      </x:c>
      <x:c r="P91" s="16" t="e">
        <x:f>D91-2*N91</x:f>
      </x:c>
      <x:c r="Q91" s="16" t="e">
        <x:f>E91-2*O91</x:f>
      </x:c>
      <x:c r="R91" s="16" t="e">
        <x:f>MAX(P91,0.000001)</x:f>
      </x:c>
      <x:c r="S91" s="16" t="e">
        <x:f>IF(B91="S",1,MAX(Q91,0.000001))</x:f>
      </x:c>
      <x:c r="T91" s="16" t="e">
        <x:f>R91*S91</x:f>
      </x:c>
      <x:c r="U91" s="16" t="e">
        <x:f>DEGREES(ATAN(SQRT(Shallow_Input!P91^2+Shallow_Input!Q91^2)/G91))</x:f>
      </x:c>
      <x:c r="V91" s="16" t="n">
        <x:f>EXP(PI()*TAN(RADIANS(Shallow_Input!Y91)))*TAN(PI()/4+RADIANS(Shallow_Input!Y91)/2)^2</x:f>
        <x:v>0.9999999999999998</x:v>
      </x:c>
      <x:c r="W91" s="16" t="n">
        <x:f>IF(ABS(TAN(RADIANS(Shallow_Input!Y91)))&gt;0.0000001,(V91-1)/TAN(RADIANS(Shallow_Input!Y91)),5.14)</x:f>
        <x:v>5.14</x:v>
      </x:c>
      <x:c r="X91" s="16" t="n">
        <x:f>2*(V91+1)*TAN(RADIANS(Shallow_Input!Y91))</x:f>
        <x:v>0</x:v>
      </x:c>
      <x:c r="Y91" s="16" t="e">
        <x:f>IF(B91="S",1,1+R91/S91*V91/MAX(W91,0.000001))</x:f>
      </x:c>
      <x:c r="Z91" s="16" t="e">
        <x:f>IF(B91="S",1,1+R91/S91*TAN(RADIANS(Shallow_Input!Y91)))</x:f>
      </x:c>
      <x:c r="AA91" s="16" t="e">
        <x:f>IF(B91="S",1,1-0.4*R91/S91)</x:f>
      </x:c>
      <x:c r="AB91" s="16" t="e">
        <x:f>1+0.4*IF(F91/MAX(R91,0.000001)&lt;=1,F91/MAX(R91,0.000001),ATAN(F91/MAX(R91,0.000001)))</x:f>
      </x:c>
      <x:c r="AC91" s="16" t="e">
        <x:f>1+2*TAN(RADIANS(Shallow_Input!U91))*(1-SIN(RADIANS(Shallow_Input!U91)))^2*IF(F91/MAX(R91,0.000001)&lt;=1,F91/MAX(R91,0.000001),ATAN(F91/MAX(R91,0.000001)))</x:f>
      </x:c>
      <x:c r="AD91" s="16" t="n">
        <x:f>1</x:f>
        <x:v>1</x:v>
      </x:c>
      <x:c r="AE91" s="16" t="e">
        <x:f>(1-U91/90)^2</x:f>
      </x:c>
      <x:c r="AF91" s="16" t="e">
        <x:f>(1-U91/90)^2</x:f>
      </x:c>
      <x:c r="AG91" s="16" t="n">
        <x:f>IF(Shallow_Input!Y91&gt;0,(1-U91/Shallow_Input!Y91)^2,1)</x:f>
        <x:v>1</x:v>
      </x:c>
      <x:c r="AH91" s="16" t="e">
        <x:f>J91/MAX(G91,0.000001)</x:f>
      </x:c>
      <x:c r="AI91" s="16" t="e">
        <x:f>H91/MAX(L91,0.000001)</x:f>
      </x:c>
      <x:c r="AJ91" s="16" t="e">
        <x:f>IF(K91&gt;=G91,"OK","NG")</x:f>
      </x:c>
      <x:c r="AK91" s="16" t="e">
        <x:f>IF(I91&gt;=L91,"OK","NG")</x:f>
      </x:c>
      <x:c r="AL91" s="16" t="e">
        <x:f>IF(M91&gt;=0,"OK","NG")</x:f>
      </x:c>
      <x:c r="AM91" s="16" t="e">
        <x:f>IF(F91/MAX(R91,0.000001)&lt;=1,"Shallow","Deep")</x:f>
      </x:c>
    </x:row>
    <x:row r="92">
      <x:c r="A92" s="16" t="n">
        <x:f>Shallow_Input!A92</x:f>
        <x:v>0</x:v>
      </x:c>
      <x:c r="B92" s="16" t="n">
        <x:f>Shallow_Input!B92</x:f>
        <x:v>0</x:v>
      </x:c>
      <x:c r="C92" s="16" t="n">
        <x:f>Shallow_Input!C92</x:f>
        <x:v>0</x:v>
      </x:c>
      <x:c r="D92" s="16" t="n">
        <x:f>Shallow_Input!D92</x:f>
        <x:v>0</x:v>
      </x:c>
      <x:c r="E92" s="16" t="e">
        <x:f>IF(B92="S",1,Shallow_Input!E92)</x:f>
      </x:c>
      <x:c r="F92" s="16" t="n">
        <x:f>Shallow_Input!F92</x:f>
        <x:v>0</x:v>
      </x:c>
      <x:c r="G92" s="16" t="e">
        <x:f>LET(B0,D92,L0,E92,D0,F92,t,Shallow_Input!G92,Cx,Shallow_Input!H92,Cy,Shallow_Input!I92,Ox,Shallow_Input!J92,Oy,IF(B92="S",0,Shallow_Input!K92),dw,Shallow_Input!L92,Qc,Shallow_Input!M92,g1u,Shallow_Input!R92,g1sat,Shallow_Input!S92,gc,Shallow_Input!Z92,g1ave,IF(dw&gt;=D0,g1u,IF(dw&lt;=0,g1sat,(g1u*dw+g1sat*(D0-dw))/D0)),g1ave*MAX(B0*L0-Cx*Cy,0)*MAX(D0-t,0)+gc*Cx*Cy*MAX(D0-t,0)+t*B0*L0*gc+Qc)</x:f>
      </x:c>
      <x:c r="H92" s="16" t="e">
        <x:f>LET(shape,B92,B0,D92,L0,E92,D0,F92,dw,Shallow_Input!L92,g1u,Shallow_Input!R92,g1sat,Shallow_Input!S92,gw,Shallow_Input!AA92,g2u,Shallow_Input!V92,g2sat,Shallow_Input!W92,analysis,C92,c2,Shallow_Input!X92,phi1,Shallow_Input!U92,phi2,Shallow_Input!Y92,Bef,R92,Nq,V92,Nc,W92,Ny,X92,Fcs,Y92,Fqs,Z92,Fys,AA92,Fcd,AB92,Fqd,AC92,Fyd,AD92,Fci,AE92,Fqi,AF92,Fyi,AG92,g1ave,IF(dw&gt;=D0,g1u,IF(dw&lt;=0,g1sat,(g1u*dw+g1sat*(D0-dw))/D0)),g1eff,IF(dw&gt;=D0,g1u,IF(dw&lt;=0,g1sat-gw,(g1u*dw+(g1sat-gw)*(D0-dw))/D0)),g2width,IF(shape="S",B0,Bef),g2ave,IF(dw&gt;=D0+g2width,g2u,IF(dw&lt;=D0,g2sat,(g2u*(dw-D0)+g2sat*(g2width-(dw-D0)))/g2width)),g2eff,IF(dw&gt;=D0+g2width,g2u,IF(dw&lt;=D0,g2sat-gw,(g2u*(dw-D0)+(g2sat-gw)*(g2width-(dw-D0)))/g2width)),g1used,IF(analysis="T",g1ave,g1eff),g2used,IF(analysis="T",g2ave,g2eff),q,g1used*D0,c2*Nc*Fcs*Fcd*Fci+q*Nq*Fqs*Fqd*Fqi+0.5*Bef*g2used*Ny*Fys*Fyd*Fyi)</x:f>
      </x:c>
      <x:c r="I92" s="16" t="e">
        <x:f>H92/Shallow_Input!AB92</x:f>
      </x:c>
      <x:c r="J92" s="16" t="e">
        <x:f>H92*T92</x:f>
      </x:c>
      <x:c r="K92" s="16" t="e">
        <x:f>I92*T92</x:f>
      </x:c>
      <x:c r="L92" s="16" t="e">
        <x:f>G92/(D92*E92)*(1+6*N92/D92+6*O92/E92)</x:f>
      </x:c>
      <x:c r="M92" s="16" t="e">
        <x:f>G92/(D92*E92)*(1-6*N92/D92-6*O92/E92)</x:f>
      </x:c>
      <x:c r="N92" s="16" t="e">
        <x:f>ABS((Shallow_Input!Z92*Shallow_Input!H92*Shallow_Input!I92*MAX(Shallow_Input!F92-Shallow_Input!G92,0)+Shallow_Input!M92)*Shallow_Input!J92+Shallow_Input!P92*Shallow_Input!F92+Shallow_Input!O92)/G92</x:f>
      </x:c>
      <x:c r="O92" s="16" t="e">
        <x:f>ABS(((Shallow_Input!Z92*Shallow_Input!H92*Shallow_Input!I92*MAX(Shallow_Input!F92-Shallow_Input!G92,0)+Shallow_Input!M92)*IF(B92="S",0,Shallow_Input!K92)+Shallow_Input!Q92*Shallow_Input!F92+IF(B92="S",0,Shallow_Input!N92))/G92)</x:f>
      </x:c>
      <x:c r="P92" s="16" t="e">
        <x:f>D92-2*N92</x:f>
      </x:c>
      <x:c r="Q92" s="16" t="e">
        <x:f>E92-2*O92</x:f>
      </x:c>
      <x:c r="R92" s="16" t="e">
        <x:f>MAX(P92,0.000001)</x:f>
      </x:c>
      <x:c r="S92" s="16" t="e">
        <x:f>IF(B92="S",1,MAX(Q92,0.000001))</x:f>
      </x:c>
      <x:c r="T92" s="16" t="e">
        <x:f>R92*S92</x:f>
      </x:c>
      <x:c r="U92" s="16" t="e">
        <x:f>DEGREES(ATAN(SQRT(Shallow_Input!P92^2+Shallow_Input!Q92^2)/G92))</x:f>
      </x:c>
      <x:c r="V92" s="16" t="n">
        <x:f>EXP(PI()*TAN(RADIANS(Shallow_Input!Y92)))*TAN(PI()/4+RADIANS(Shallow_Input!Y92)/2)^2</x:f>
        <x:v>0.9999999999999998</x:v>
      </x:c>
      <x:c r="W92" s="16" t="n">
        <x:f>IF(ABS(TAN(RADIANS(Shallow_Input!Y92)))&gt;0.0000001,(V92-1)/TAN(RADIANS(Shallow_Input!Y92)),5.14)</x:f>
        <x:v>5.14</x:v>
      </x:c>
      <x:c r="X92" s="16" t="n">
        <x:f>2*(V92+1)*TAN(RADIANS(Shallow_Input!Y92))</x:f>
        <x:v>0</x:v>
      </x:c>
      <x:c r="Y92" s="16" t="e">
        <x:f>IF(B92="S",1,1+R92/S92*V92/MAX(W92,0.000001))</x:f>
      </x:c>
      <x:c r="Z92" s="16" t="e">
        <x:f>IF(B92="S",1,1+R92/S92*TAN(RADIANS(Shallow_Input!Y92)))</x:f>
      </x:c>
      <x:c r="AA92" s="16" t="e">
        <x:f>IF(B92="S",1,1-0.4*R92/S92)</x:f>
      </x:c>
      <x:c r="AB92" s="16" t="e">
        <x:f>1+0.4*IF(F92/MAX(R92,0.000001)&lt;=1,F92/MAX(R92,0.000001),ATAN(F92/MAX(R92,0.000001)))</x:f>
      </x:c>
      <x:c r="AC92" s="16" t="e">
        <x:f>1+2*TAN(RADIANS(Shallow_Input!U92))*(1-SIN(RADIANS(Shallow_Input!U92)))^2*IF(F92/MAX(R92,0.000001)&lt;=1,F92/MAX(R92,0.000001),ATAN(F92/MAX(R92,0.000001)))</x:f>
      </x:c>
      <x:c r="AD92" s="16" t="n">
        <x:f>1</x:f>
        <x:v>1</x:v>
      </x:c>
      <x:c r="AE92" s="16" t="e">
        <x:f>(1-U92/90)^2</x:f>
      </x:c>
      <x:c r="AF92" s="16" t="e">
        <x:f>(1-U92/90)^2</x:f>
      </x:c>
      <x:c r="AG92" s="16" t="n">
        <x:f>IF(Shallow_Input!Y92&gt;0,(1-U92/Shallow_Input!Y92)^2,1)</x:f>
        <x:v>1</x:v>
      </x:c>
      <x:c r="AH92" s="16" t="e">
        <x:f>J92/MAX(G92,0.000001)</x:f>
      </x:c>
      <x:c r="AI92" s="16" t="e">
        <x:f>H92/MAX(L92,0.000001)</x:f>
      </x:c>
      <x:c r="AJ92" s="16" t="e">
        <x:f>IF(K92&gt;=G92,"OK","NG")</x:f>
      </x:c>
      <x:c r="AK92" s="16" t="e">
        <x:f>IF(I92&gt;=L92,"OK","NG")</x:f>
      </x:c>
      <x:c r="AL92" s="16" t="e">
        <x:f>IF(M92&gt;=0,"OK","NG")</x:f>
      </x:c>
      <x:c r="AM92" s="16" t="e">
        <x:f>IF(F92/MAX(R92,0.000001)&lt;=1,"Shallow","Deep")</x:f>
      </x:c>
    </x:row>
    <x:row r="93">
      <x:c r="A93" s="16" t="n">
        <x:f>Shallow_Input!A93</x:f>
        <x:v>0</x:v>
      </x:c>
      <x:c r="B93" s="16" t="n">
        <x:f>Shallow_Input!B93</x:f>
        <x:v>0</x:v>
      </x:c>
      <x:c r="C93" s="16" t="n">
        <x:f>Shallow_Input!C93</x:f>
        <x:v>0</x:v>
      </x:c>
      <x:c r="D93" s="16" t="n">
        <x:f>Shallow_Input!D93</x:f>
        <x:v>0</x:v>
      </x:c>
      <x:c r="E93" s="16" t="e">
        <x:f>IF(B93="S",1,Shallow_Input!E93)</x:f>
      </x:c>
      <x:c r="F93" s="16" t="n">
        <x:f>Shallow_Input!F93</x:f>
        <x:v>0</x:v>
      </x:c>
      <x:c r="G93" s="16" t="e">
        <x:f>LET(B0,D93,L0,E93,D0,F93,t,Shallow_Input!G93,Cx,Shallow_Input!H93,Cy,Shallow_Input!I93,Ox,Shallow_Input!J93,Oy,IF(B93="S",0,Shallow_Input!K93),dw,Shallow_Input!L93,Qc,Shallow_Input!M93,g1u,Shallow_Input!R93,g1sat,Shallow_Input!S93,gc,Shallow_Input!Z93,g1ave,IF(dw&gt;=D0,g1u,IF(dw&lt;=0,g1sat,(g1u*dw+g1sat*(D0-dw))/D0)),g1ave*MAX(B0*L0-Cx*Cy,0)*MAX(D0-t,0)+gc*Cx*Cy*MAX(D0-t,0)+t*B0*L0*gc+Qc)</x:f>
      </x:c>
      <x:c r="H93" s="16" t="e">
        <x:f>LET(shape,B93,B0,D93,L0,E93,D0,F93,dw,Shallow_Input!L93,g1u,Shallow_Input!R93,g1sat,Shallow_Input!S93,gw,Shallow_Input!AA93,g2u,Shallow_Input!V93,g2sat,Shallow_Input!W93,analysis,C93,c2,Shallow_Input!X93,phi1,Shallow_Input!U93,phi2,Shallow_Input!Y93,Bef,R93,Nq,V93,Nc,W93,Ny,X93,Fcs,Y93,Fqs,Z93,Fys,AA93,Fcd,AB93,Fqd,AC93,Fyd,AD93,Fci,AE93,Fqi,AF93,Fyi,AG93,g1ave,IF(dw&gt;=D0,g1u,IF(dw&lt;=0,g1sat,(g1u*dw+g1sat*(D0-dw))/D0)),g1eff,IF(dw&gt;=D0,g1u,IF(dw&lt;=0,g1sat-gw,(g1u*dw+(g1sat-gw)*(D0-dw))/D0)),g2width,IF(shape="S",B0,Bef),g2ave,IF(dw&gt;=D0+g2width,g2u,IF(dw&lt;=D0,g2sat,(g2u*(dw-D0)+g2sat*(g2width-(dw-D0)))/g2width)),g2eff,IF(dw&gt;=D0+g2width,g2u,IF(dw&lt;=D0,g2sat-gw,(g2u*(dw-D0)+(g2sat-gw)*(g2width-(dw-D0)))/g2width)),g1used,IF(analysis="T",g1ave,g1eff),g2used,IF(analysis="T",g2ave,g2eff),q,g1used*D0,c2*Nc*Fcs*Fcd*Fci+q*Nq*Fqs*Fqd*Fqi+0.5*Bef*g2used*Ny*Fys*Fyd*Fyi)</x:f>
      </x:c>
      <x:c r="I93" s="16" t="e">
        <x:f>H93/Shallow_Input!AB93</x:f>
      </x:c>
      <x:c r="J93" s="16" t="e">
        <x:f>H93*T93</x:f>
      </x:c>
      <x:c r="K93" s="16" t="e">
        <x:f>I93*T93</x:f>
      </x:c>
      <x:c r="L93" s="16" t="e">
        <x:f>G93/(D93*E93)*(1+6*N93/D93+6*O93/E93)</x:f>
      </x:c>
      <x:c r="M93" s="16" t="e">
        <x:f>G93/(D93*E93)*(1-6*N93/D93-6*O93/E93)</x:f>
      </x:c>
      <x:c r="N93" s="16" t="e">
        <x:f>ABS((Shallow_Input!Z93*Shallow_Input!H93*Shallow_Input!I93*MAX(Shallow_Input!F93-Shallow_Input!G93,0)+Shallow_Input!M93)*Shallow_Input!J93+Shallow_Input!P93*Shallow_Input!F93+Shallow_Input!O93)/G93</x:f>
      </x:c>
      <x:c r="O93" s="16" t="e">
        <x:f>ABS(((Shallow_Input!Z93*Shallow_Input!H93*Shallow_Input!I93*MAX(Shallow_Input!F93-Shallow_Input!G93,0)+Shallow_Input!M93)*IF(B93="S",0,Shallow_Input!K93)+Shallow_Input!Q93*Shallow_Input!F93+IF(B93="S",0,Shallow_Input!N93))/G93)</x:f>
      </x:c>
      <x:c r="P93" s="16" t="e">
        <x:f>D93-2*N93</x:f>
      </x:c>
      <x:c r="Q93" s="16" t="e">
        <x:f>E93-2*O93</x:f>
      </x:c>
      <x:c r="R93" s="16" t="e">
        <x:f>MAX(P93,0.000001)</x:f>
      </x:c>
      <x:c r="S93" s="16" t="e">
        <x:f>IF(B93="S",1,MAX(Q93,0.000001))</x:f>
      </x:c>
      <x:c r="T93" s="16" t="e">
        <x:f>R93*S93</x:f>
      </x:c>
      <x:c r="U93" s="16" t="e">
        <x:f>DEGREES(ATAN(SQRT(Shallow_Input!P93^2+Shallow_Input!Q93^2)/G93))</x:f>
      </x:c>
      <x:c r="V93" s="16" t="n">
        <x:f>EXP(PI()*TAN(RADIANS(Shallow_Input!Y93)))*TAN(PI()/4+RADIANS(Shallow_Input!Y93)/2)^2</x:f>
        <x:v>0.9999999999999998</x:v>
      </x:c>
      <x:c r="W93" s="16" t="n">
        <x:f>IF(ABS(TAN(RADIANS(Shallow_Input!Y93)))&gt;0.0000001,(V93-1)/TAN(RADIANS(Shallow_Input!Y93)),5.14)</x:f>
        <x:v>5.14</x:v>
      </x:c>
      <x:c r="X93" s="16" t="n">
        <x:f>2*(V93+1)*TAN(RADIANS(Shallow_Input!Y93))</x:f>
        <x:v>0</x:v>
      </x:c>
      <x:c r="Y93" s="16" t="e">
        <x:f>IF(B93="S",1,1+R93/S93*V93/MAX(W93,0.000001))</x:f>
      </x:c>
      <x:c r="Z93" s="16" t="e">
        <x:f>IF(B93="S",1,1+R93/S93*TAN(RADIANS(Shallow_Input!Y93)))</x:f>
      </x:c>
      <x:c r="AA93" s="16" t="e">
        <x:f>IF(B93="S",1,1-0.4*R93/S93)</x:f>
      </x:c>
      <x:c r="AB93" s="16" t="e">
        <x:f>1+0.4*IF(F93/MAX(R93,0.000001)&lt;=1,F93/MAX(R93,0.000001),ATAN(F93/MAX(R93,0.000001)))</x:f>
      </x:c>
      <x:c r="AC93" s="16" t="e">
        <x:f>1+2*TAN(RADIANS(Shallow_Input!U93))*(1-SIN(RADIANS(Shallow_Input!U93)))^2*IF(F93/MAX(R93,0.000001)&lt;=1,F93/MAX(R93,0.000001),ATAN(F93/MAX(R93,0.000001)))</x:f>
      </x:c>
      <x:c r="AD93" s="16" t="n">
        <x:f>1</x:f>
        <x:v>1</x:v>
      </x:c>
      <x:c r="AE93" s="16" t="e">
        <x:f>(1-U93/90)^2</x:f>
      </x:c>
      <x:c r="AF93" s="16" t="e">
        <x:f>(1-U93/90)^2</x:f>
      </x:c>
      <x:c r="AG93" s="16" t="n">
        <x:f>IF(Shallow_Input!Y93&gt;0,(1-U93/Shallow_Input!Y93)^2,1)</x:f>
        <x:v>1</x:v>
      </x:c>
      <x:c r="AH93" s="16" t="e">
        <x:f>J93/MAX(G93,0.000001)</x:f>
      </x:c>
      <x:c r="AI93" s="16" t="e">
        <x:f>H93/MAX(L93,0.000001)</x:f>
      </x:c>
      <x:c r="AJ93" s="16" t="e">
        <x:f>IF(K93&gt;=G93,"OK","NG")</x:f>
      </x:c>
      <x:c r="AK93" s="16" t="e">
        <x:f>IF(I93&gt;=L93,"OK","NG")</x:f>
      </x:c>
      <x:c r="AL93" s="16" t="e">
        <x:f>IF(M93&gt;=0,"OK","NG")</x:f>
      </x:c>
      <x:c r="AM93" s="16" t="e">
        <x:f>IF(F93/MAX(R93,0.000001)&lt;=1,"Shallow","Deep")</x:f>
      </x:c>
    </x:row>
    <x:row r="94">
      <x:c r="A94" s="16" t="n">
        <x:f>Shallow_Input!A94</x:f>
        <x:v>0</x:v>
      </x:c>
      <x:c r="B94" s="16" t="n">
        <x:f>Shallow_Input!B94</x:f>
        <x:v>0</x:v>
      </x:c>
      <x:c r="C94" s="16" t="n">
        <x:f>Shallow_Input!C94</x:f>
        <x:v>0</x:v>
      </x:c>
      <x:c r="D94" s="16" t="n">
        <x:f>Shallow_Input!D94</x:f>
        <x:v>0</x:v>
      </x:c>
      <x:c r="E94" s="16" t="e">
        <x:f>IF(B94="S",1,Shallow_Input!E94)</x:f>
      </x:c>
      <x:c r="F94" s="16" t="n">
        <x:f>Shallow_Input!F94</x:f>
        <x:v>0</x:v>
      </x:c>
      <x:c r="G94" s="16" t="e">
        <x:f>LET(B0,D94,L0,E94,D0,F94,t,Shallow_Input!G94,Cx,Shallow_Input!H94,Cy,Shallow_Input!I94,Ox,Shallow_Input!J94,Oy,IF(B94="S",0,Shallow_Input!K94),dw,Shallow_Input!L94,Qc,Shallow_Input!M94,g1u,Shallow_Input!R94,g1sat,Shallow_Input!S94,gc,Shallow_Input!Z94,g1ave,IF(dw&gt;=D0,g1u,IF(dw&lt;=0,g1sat,(g1u*dw+g1sat*(D0-dw))/D0)),g1ave*MAX(B0*L0-Cx*Cy,0)*MAX(D0-t,0)+gc*Cx*Cy*MAX(D0-t,0)+t*B0*L0*gc+Qc)</x:f>
      </x:c>
      <x:c r="H94" s="16" t="e">
        <x:f>LET(shape,B94,B0,D94,L0,E94,D0,F94,dw,Shallow_Input!L94,g1u,Shallow_Input!R94,g1sat,Shallow_Input!S94,gw,Shallow_Input!AA94,g2u,Shallow_Input!V94,g2sat,Shallow_Input!W94,analysis,C94,c2,Shallow_Input!X94,phi1,Shallow_Input!U94,phi2,Shallow_Input!Y94,Bef,R94,Nq,V94,Nc,W94,Ny,X94,Fcs,Y94,Fqs,Z94,Fys,AA94,Fcd,AB94,Fqd,AC94,Fyd,AD94,Fci,AE94,Fqi,AF94,Fyi,AG94,g1ave,IF(dw&gt;=D0,g1u,IF(dw&lt;=0,g1sat,(g1u*dw+g1sat*(D0-dw))/D0)),g1eff,IF(dw&gt;=D0,g1u,IF(dw&lt;=0,g1sat-gw,(g1u*dw+(g1sat-gw)*(D0-dw))/D0)),g2width,IF(shape="S",B0,Bef),g2ave,IF(dw&gt;=D0+g2width,g2u,IF(dw&lt;=D0,g2sat,(g2u*(dw-D0)+g2sat*(g2width-(dw-D0)))/g2width)),g2eff,IF(dw&gt;=D0+g2width,g2u,IF(dw&lt;=D0,g2sat-gw,(g2u*(dw-D0)+(g2sat-gw)*(g2width-(dw-D0)))/g2width)),g1used,IF(analysis="T",g1ave,g1eff),g2used,IF(analysis="T",g2ave,g2eff),q,g1used*D0,c2*Nc*Fcs*Fcd*Fci+q*Nq*Fqs*Fqd*Fqi+0.5*Bef*g2used*Ny*Fys*Fyd*Fyi)</x:f>
      </x:c>
      <x:c r="I94" s="16" t="e">
        <x:f>H94/Shallow_Input!AB94</x:f>
      </x:c>
      <x:c r="J94" s="16" t="e">
        <x:f>H94*T94</x:f>
      </x:c>
      <x:c r="K94" s="16" t="e">
        <x:f>I94*T94</x:f>
      </x:c>
      <x:c r="L94" s="16" t="e">
        <x:f>G94/(D94*E94)*(1+6*N94/D94+6*O94/E94)</x:f>
      </x:c>
      <x:c r="M94" s="16" t="e">
        <x:f>G94/(D94*E94)*(1-6*N94/D94-6*O94/E94)</x:f>
      </x:c>
      <x:c r="N94" s="16" t="e">
        <x:f>ABS((Shallow_Input!Z94*Shallow_Input!H94*Shallow_Input!I94*MAX(Shallow_Input!F94-Shallow_Input!G94,0)+Shallow_Input!M94)*Shallow_Input!J94+Shallow_Input!P94*Shallow_Input!F94+Shallow_Input!O94)/G94</x:f>
      </x:c>
      <x:c r="O94" s="16" t="e">
        <x:f>ABS(((Shallow_Input!Z94*Shallow_Input!H94*Shallow_Input!I94*MAX(Shallow_Input!F94-Shallow_Input!G94,0)+Shallow_Input!M94)*IF(B94="S",0,Shallow_Input!K94)+Shallow_Input!Q94*Shallow_Input!F94+IF(B94="S",0,Shallow_Input!N94))/G94)</x:f>
      </x:c>
      <x:c r="P94" s="16" t="e">
        <x:f>D94-2*N94</x:f>
      </x:c>
      <x:c r="Q94" s="16" t="e">
        <x:f>E94-2*O94</x:f>
      </x:c>
      <x:c r="R94" s="16" t="e">
        <x:f>MAX(P94,0.000001)</x:f>
      </x:c>
      <x:c r="S94" s="16" t="e">
        <x:f>IF(B94="S",1,MAX(Q94,0.000001))</x:f>
      </x:c>
      <x:c r="T94" s="16" t="e">
        <x:f>R94*S94</x:f>
      </x:c>
      <x:c r="U94" s="16" t="e">
        <x:f>DEGREES(ATAN(SQRT(Shallow_Input!P94^2+Shallow_Input!Q94^2)/G94))</x:f>
      </x:c>
      <x:c r="V94" s="16" t="n">
        <x:f>EXP(PI()*TAN(RADIANS(Shallow_Input!Y94)))*TAN(PI()/4+RADIANS(Shallow_Input!Y94)/2)^2</x:f>
        <x:v>0.9999999999999998</x:v>
      </x:c>
      <x:c r="W94" s="16" t="n">
        <x:f>IF(ABS(TAN(RADIANS(Shallow_Input!Y94)))&gt;0.0000001,(V94-1)/TAN(RADIANS(Shallow_Input!Y94)),5.14)</x:f>
        <x:v>5.14</x:v>
      </x:c>
      <x:c r="X94" s="16" t="n">
        <x:f>2*(V94+1)*TAN(RADIANS(Shallow_Input!Y94))</x:f>
        <x:v>0</x:v>
      </x:c>
      <x:c r="Y94" s="16" t="e">
        <x:f>IF(B94="S",1,1+R94/S94*V94/MAX(W94,0.000001))</x:f>
      </x:c>
      <x:c r="Z94" s="16" t="e">
        <x:f>IF(B94="S",1,1+R94/S94*TAN(RADIANS(Shallow_Input!Y94)))</x:f>
      </x:c>
      <x:c r="AA94" s="16" t="e">
        <x:f>IF(B94="S",1,1-0.4*R94/S94)</x:f>
      </x:c>
      <x:c r="AB94" s="16" t="e">
        <x:f>1+0.4*IF(F94/MAX(R94,0.000001)&lt;=1,F94/MAX(R94,0.000001),ATAN(F94/MAX(R94,0.000001)))</x:f>
      </x:c>
      <x:c r="AC94" s="16" t="e">
        <x:f>1+2*TAN(RADIANS(Shallow_Input!U94))*(1-SIN(RADIANS(Shallow_Input!U94)))^2*IF(F94/MAX(R94,0.000001)&lt;=1,F94/MAX(R94,0.000001),ATAN(F94/MAX(R94,0.000001)))</x:f>
      </x:c>
      <x:c r="AD94" s="16" t="n">
        <x:f>1</x:f>
        <x:v>1</x:v>
      </x:c>
      <x:c r="AE94" s="16" t="e">
        <x:f>(1-U94/90)^2</x:f>
      </x:c>
      <x:c r="AF94" s="16" t="e">
        <x:f>(1-U94/90)^2</x:f>
      </x:c>
      <x:c r="AG94" s="16" t="n">
        <x:f>IF(Shallow_Input!Y94&gt;0,(1-U94/Shallow_Input!Y94)^2,1)</x:f>
        <x:v>1</x:v>
      </x:c>
      <x:c r="AH94" s="16" t="e">
        <x:f>J94/MAX(G94,0.000001)</x:f>
      </x:c>
      <x:c r="AI94" s="16" t="e">
        <x:f>H94/MAX(L94,0.000001)</x:f>
      </x:c>
      <x:c r="AJ94" s="16" t="e">
        <x:f>IF(K94&gt;=G94,"OK","NG")</x:f>
      </x:c>
      <x:c r="AK94" s="16" t="e">
        <x:f>IF(I94&gt;=L94,"OK","NG")</x:f>
      </x:c>
      <x:c r="AL94" s="16" t="e">
        <x:f>IF(M94&gt;=0,"OK","NG")</x:f>
      </x:c>
      <x:c r="AM94" s="16" t="e">
        <x:f>IF(F94/MAX(R94,0.000001)&lt;=1,"Shallow","Deep")</x:f>
      </x:c>
    </x:row>
    <x:row r="95">
      <x:c r="A95" s="16" t="n">
        <x:f>Shallow_Input!A95</x:f>
        <x:v>0</x:v>
      </x:c>
      <x:c r="B95" s="16" t="n">
        <x:f>Shallow_Input!B95</x:f>
        <x:v>0</x:v>
      </x:c>
      <x:c r="C95" s="16" t="n">
        <x:f>Shallow_Input!C95</x:f>
        <x:v>0</x:v>
      </x:c>
      <x:c r="D95" s="16" t="n">
        <x:f>Shallow_Input!D95</x:f>
        <x:v>0</x:v>
      </x:c>
      <x:c r="E95" s="16" t="e">
        <x:f>IF(B95="S",1,Shallow_Input!E95)</x:f>
      </x:c>
      <x:c r="F95" s="16" t="n">
        <x:f>Shallow_Input!F95</x:f>
        <x:v>0</x:v>
      </x:c>
      <x:c r="G95" s="16" t="e">
        <x:f>LET(B0,D95,L0,E95,D0,F95,t,Shallow_Input!G95,Cx,Shallow_Input!H95,Cy,Shallow_Input!I95,Ox,Shallow_Input!J95,Oy,IF(B95="S",0,Shallow_Input!K95),dw,Shallow_Input!L95,Qc,Shallow_Input!M95,g1u,Shallow_Input!R95,g1sat,Shallow_Input!S95,gc,Shallow_Input!Z95,g1ave,IF(dw&gt;=D0,g1u,IF(dw&lt;=0,g1sat,(g1u*dw+g1sat*(D0-dw))/D0)),g1ave*MAX(B0*L0-Cx*Cy,0)*MAX(D0-t,0)+gc*Cx*Cy*MAX(D0-t,0)+t*B0*L0*gc+Qc)</x:f>
      </x:c>
      <x:c r="H95" s="16" t="e">
        <x:f>LET(shape,B95,B0,D95,L0,E95,D0,F95,dw,Shallow_Input!L95,g1u,Shallow_Input!R95,g1sat,Shallow_Input!S95,gw,Shallow_Input!AA95,g2u,Shallow_Input!V95,g2sat,Shallow_Input!W95,analysis,C95,c2,Shallow_Input!X95,phi1,Shallow_Input!U95,phi2,Shallow_Input!Y95,Bef,R95,Nq,V95,Nc,W95,Ny,X95,Fcs,Y95,Fqs,Z95,Fys,AA95,Fcd,AB95,Fqd,AC95,Fyd,AD95,Fci,AE95,Fqi,AF95,Fyi,AG95,g1ave,IF(dw&gt;=D0,g1u,IF(dw&lt;=0,g1sat,(g1u*dw+g1sat*(D0-dw))/D0)),g1eff,IF(dw&gt;=D0,g1u,IF(dw&lt;=0,g1sat-gw,(g1u*dw+(g1sat-gw)*(D0-dw))/D0)),g2width,IF(shape="S",B0,Bef),g2ave,IF(dw&gt;=D0+g2width,g2u,IF(dw&lt;=D0,g2sat,(g2u*(dw-D0)+g2sat*(g2width-(dw-D0)))/g2width)),g2eff,IF(dw&gt;=D0+g2width,g2u,IF(dw&lt;=D0,g2sat-gw,(g2u*(dw-D0)+(g2sat-gw)*(g2width-(dw-D0)))/g2width)),g1used,IF(analysis="T",g1ave,g1eff),g2used,IF(analysis="T",g2ave,g2eff),q,g1used*D0,c2*Nc*Fcs*Fcd*Fci+q*Nq*Fqs*Fqd*Fqi+0.5*Bef*g2used*Ny*Fys*Fyd*Fyi)</x:f>
      </x:c>
      <x:c r="I95" s="16" t="e">
        <x:f>H95/Shallow_Input!AB95</x:f>
      </x:c>
      <x:c r="J95" s="16" t="e">
        <x:f>H95*T95</x:f>
      </x:c>
      <x:c r="K95" s="16" t="e">
        <x:f>I95*T95</x:f>
      </x:c>
      <x:c r="L95" s="16" t="e">
        <x:f>G95/(D95*E95)*(1+6*N95/D95+6*O95/E95)</x:f>
      </x:c>
      <x:c r="M95" s="16" t="e">
        <x:f>G95/(D95*E95)*(1-6*N95/D95-6*O95/E95)</x:f>
      </x:c>
      <x:c r="N95" s="16" t="e">
        <x:f>ABS((Shallow_Input!Z95*Shallow_Input!H95*Shallow_Input!I95*MAX(Shallow_Input!F95-Shallow_Input!G95,0)+Shallow_Input!M95)*Shallow_Input!J95+Shallow_Input!P95*Shallow_Input!F95+Shallow_Input!O95)/G95</x:f>
      </x:c>
      <x:c r="O95" s="16" t="e">
        <x:f>ABS(((Shallow_Input!Z95*Shallow_Input!H95*Shallow_Input!I95*MAX(Shallow_Input!F95-Shallow_Input!G95,0)+Shallow_Input!M95)*IF(B95="S",0,Shallow_Input!K95)+Shallow_Input!Q95*Shallow_Input!F95+IF(B95="S",0,Shallow_Input!N95))/G95)</x:f>
      </x:c>
      <x:c r="P95" s="16" t="e">
        <x:f>D95-2*N95</x:f>
      </x:c>
      <x:c r="Q95" s="16" t="e">
        <x:f>E95-2*O95</x:f>
      </x:c>
      <x:c r="R95" s="16" t="e">
        <x:f>MAX(P95,0.000001)</x:f>
      </x:c>
      <x:c r="S95" s="16" t="e">
        <x:f>IF(B95="S",1,MAX(Q95,0.000001))</x:f>
      </x:c>
      <x:c r="T95" s="16" t="e">
        <x:f>R95*S95</x:f>
      </x:c>
      <x:c r="U95" s="16" t="e">
        <x:f>DEGREES(ATAN(SQRT(Shallow_Input!P95^2+Shallow_Input!Q95^2)/G95))</x:f>
      </x:c>
      <x:c r="V95" s="16" t="n">
        <x:f>EXP(PI()*TAN(RADIANS(Shallow_Input!Y95)))*TAN(PI()/4+RADIANS(Shallow_Input!Y95)/2)^2</x:f>
        <x:v>0.9999999999999998</x:v>
      </x:c>
      <x:c r="W95" s="16" t="n">
        <x:f>IF(ABS(TAN(RADIANS(Shallow_Input!Y95)))&gt;0.0000001,(V95-1)/TAN(RADIANS(Shallow_Input!Y95)),5.14)</x:f>
        <x:v>5.14</x:v>
      </x:c>
      <x:c r="X95" s="16" t="n">
        <x:f>2*(V95+1)*TAN(RADIANS(Shallow_Input!Y95))</x:f>
        <x:v>0</x:v>
      </x:c>
      <x:c r="Y95" s="16" t="e">
        <x:f>IF(B95="S",1,1+R95/S95*V95/MAX(W95,0.000001))</x:f>
      </x:c>
      <x:c r="Z95" s="16" t="e">
        <x:f>IF(B95="S",1,1+R95/S95*TAN(RADIANS(Shallow_Input!Y95)))</x:f>
      </x:c>
      <x:c r="AA95" s="16" t="e">
        <x:f>IF(B95="S",1,1-0.4*R95/S95)</x:f>
      </x:c>
      <x:c r="AB95" s="16" t="e">
        <x:f>1+0.4*IF(F95/MAX(R95,0.000001)&lt;=1,F95/MAX(R95,0.000001),ATAN(F95/MAX(R95,0.000001)))</x:f>
      </x:c>
      <x:c r="AC95" s="16" t="e">
        <x:f>1+2*TAN(RADIANS(Shallow_Input!U95))*(1-SIN(RADIANS(Shallow_Input!U95)))^2*IF(F95/MAX(R95,0.000001)&lt;=1,F95/MAX(R95,0.000001),ATAN(F95/MAX(R95,0.000001)))</x:f>
      </x:c>
      <x:c r="AD95" s="16" t="n">
        <x:f>1</x:f>
        <x:v>1</x:v>
      </x:c>
      <x:c r="AE95" s="16" t="e">
        <x:f>(1-U95/90)^2</x:f>
      </x:c>
      <x:c r="AF95" s="16" t="e">
        <x:f>(1-U95/90)^2</x:f>
      </x:c>
      <x:c r="AG95" s="16" t="n">
        <x:f>IF(Shallow_Input!Y95&gt;0,(1-U95/Shallow_Input!Y95)^2,1)</x:f>
        <x:v>1</x:v>
      </x:c>
      <x:c r="AH95" s="16" t="e">
        <x:f>J95/MAX(G95,0.000001)</x:f>
      </x:c>
      <x:c r="AI95" s="16" t="e">
        <x:f>H95/MAX(L95,0.000001)</x:f>
      </x:c>
      <x:c r="AJ95" s="16" t="e">
        <x:f>IF(K95&gt;=G95,"OK","NG")</x:f>
      </x:c>
      <x:c r="AK95" s="16" t="e">
        <x:f>IF(I95&gt;=L95,"OK","NG")</x:f>
      </x:c>
      <x:c r="AL95" s="16" t="e">
        <x:f>IF(M95&gt;=0,"OK","NG")</x:f>
      </x:c>
      <x:c r="AM95" s="16" t="e">
        <x:f>IF(F95/MAX(R95,0.000001)&lt;=1,"Shallow","Deep")</x:f>
      </x:c>
    </x:row>
    <x:row r="96">
      <x:c r="A96" s="16" t="n">
        <x:f>Shallow_Input!A96</x:f>
        <x:v>0</x:v>
      </x:c>
      <x:c r="B96" s="16" t="n">
        <x:f>Shallow_Input!B96</x:f>
        <x:v>0</x:v>
      </x:c>
      <x:c r="C96" s="16" t="n">
        <x:f>Shallow_Input!C96</x:f>
        <x:v>0</x:v>
      </x:c>
      <x:c r="D96" s="16" t="n">
        <x:f>Shallow_Input!D96</x:f>
        <x:v>0</x:v>
      </x:c>
      <x:c r="E96" s="16" t="e">
        <x:f>IF(B96="S",1,Shallow_Input!E96)</x:f>
      </x:c>
      <x:c r="F96" s="16" t="n">
        <x:f>Shallow_Input!F96</x:f>
        <x:v>0</x:v>
      </x:c>
      <x:c r="G96" s="16" t="e">
        <x:f>LET(B0,D96,L0,E96,D0,F96,t,Shallow_Input!G96,Cx,Shallow_Input!H96,Cy,Shallow_Input!I96,Ox,Shallow_Input!J96,Oy,IF(B96="S",0,Shallow_Input!K96),dw,Shallow_Input!L96,Qc,Shallow_Input!M96,g1u,Shallow_Input!R96,g1sat,Shallow_Input!S96,gc,Shallow_Input!Z96,g1ave,IF(dw&gt;=D0,g1u,IF(dw&lt;=0,g1sat,(g1u*dw+g1sat*(D0-dw))/D0)),g1ave*MAX(B0*L0-Cx*Cy,0)*MAX(D0-t,0)+gc*Cx*Cy*MAX(D0-t,0)+t*B0*L0*gc+Qc)</x:f>
      </x:c>
      <x:c r="H96" s="16" t="e">
        <x:f>LET(shape,B96,B0,D96,L0,E96,D0,F96,dw,Shallow_Input!L96,g1u,Shallow_Input!R96,g1sat,Shallow_Input!S96,gw,Shallow_Input!AA96,g2u,Shallow_Input!V96,g2sat,Shallow_Input!W96,analysis,C96,c2,Shallow_Input!X96,phi1,Shallow_Input!U96,phi2,Shallow_Input!Y96,Bef,R96,Nq,V96,Nc,W96,Ny,X96,Fcs,Y96,Fqs,Z96,Fys,AA96,Fcd,AB96,Fqd,AC96,Fyd,AD96,Fci,AE96,Fqi,AF96,Fyi,AG96,g1ave,IF(dw&gt;=D0,g1u,IF(dw&lt;=0,g1sat,(g1u*dw+g1sat*(D0-dw))/D0)),g1eff,IF(dw&gt;=D0,g1u,IF(dw&lt;=0,g1sat-gw,(g1u*dw+(g1sat-gw)*(D0-dw))/D0)),g2width,IF(shape="S",B0,Bef),g2ave,IF(dw&gt;=D0+g2width,g2u,IF(dw&lt;=D0,g2sat,(g2u*(dw-D0)+g2sat*(g2width-(dw-D0)))/g2width)),g2eff,IF(dw&gt;=D0+g2width,g2u,IF(dw&lt;=D0,g2sat-gw,(g2u*(dw-D0)+(g2sat-gw)*(g2width-(dw-D0)))/g2width)),g1used,IF(analysis="T",g1ave,g1eff),g2used,IF(analysis="T",g2ave,g2eff),q,g1used*D0,c2*Nc*Fcs*Fcd*Fci+q*Nq*Fqs*Fqd*Fqi+0.5*Bef*g2used*Ny*Fys*Fyd*Fyi)</x:f>
      </x:c>
      <x:c r="I96" s="16" t="e">
        <x:f>H96/Shallow_Input!AB96</x:f>
      </x:c>
      <x:c r="J96" s="16" t="e">
        <x:f>H96*T96</x:f>
      </x:c>
      <x:c r="K96" s="16" t="e">
        <x:f>I96*T96</x:f>
      </x:c>
      <x:c r="L96" s="16" t="e">
        <x:f>G96/(D96*E96)*(1+6*N96/D96+6*O96/E96)</x:f>
      </x:c>
      <x:c r="M96" s="16" t="e">
        <x:f>G96/(D96*E96)*(1-6*N96/D96-6*O96/E96)</x:f>
      </x:c>
      <x:c r="N96" s="16" t="e">
        <x:f>ABS((Shallow_Input!Z96*Shallow_Input!H96*Shallow_Input!I96*MAX(Shallow_Input!F96-Shallow_Input!G96,0)+Shallow_Input!M96)*Shallow_Input!J96+Shallow_Input!P96*Shallow_Input!F96+Shallow_Input!O96)/G96</x:f>
      </x:c>
      <x:c r="O96" s="16" t="e">
        <x:f>ABS(((Shallow_Input!Z96*Shallow_Input!H96*Shallow_Input!I96*MAX(Shallow_Input!F96-Shallow_Input!G96,0)+Shallow_Input!M96)*IF(B96="S",0,Shallow_Input!K96)+Shallow_Input!Q96*Shallow_Input!F96+IF(B96="S",0,Shallow_Input!N96))/G96)</x:f>
      </x:c>
      <x:c r="P96" s="16" t="e">
        <x:f>D96-2*N96</x:f>
      </x:c>
      <x:c r="Q96" s="16" t="e">
        <x:f>E96-2*O96</x:f>
      </x:c>
      <x:c r="R96" s="16" t="e">
        <x:f>MAX(P96,0.000001)</x:f>
      </x:c>
      <x:c r="S96" s="16" t="e">
        <x:f>IF(B96="S",1,MAX(Q96,0.000001))</x:f>
      </x:c>
      <x:c r="T96" s="16" t="e">
        <x:f>R96*S96</x:f>
      </x:c>
      <x:c r="U96" s="16" t="e">
        <x:f>DEGREES(ATAN(SQRT(Shallow_Input!P96^2+Shallow_Input!Q96^2)/G96))</x:f>
      </x:c>
      <x:c r="V96" s="16" t="n">
        <x:f>EXP(PI()*TAN(RADIANS(Shallow_Input!Y96)))*TAN(PI()/4+RADIANS(Shallow_Input!Y96)/2)^2</x:f>
        <x:v>0.9999999999999998</x:v>
      </x:c>
      <x:c r="W96" s="16" t="n">
        <x:f>IF(ABS(TAN(RADIANS(Shallow_Input!Y96)))&gt;0.0000001,(V96-1)/TAN(RADIANS(Shallow_Input!Y96)),5.14)</x:f>
        <x:v>5.14</x:v>
      </x:c>
      <x:c r="X96" s="16" t="n">
        <x:f>2*(V96+1)*TAN(RADIANS(Shallow_Input!Y96))</x:f>
        <x:v>0</x:v>
      </x:c>
      <x:c r="Y96" s="16" t="e">
        <x:f>IF(B96="S",1,1+R96/S96*V96/MAX(W96,0.000001))</x:f>
      </x:c>
      <x:c r="Z96" s="16" t="e">
        <x:f>IF(B96="S",1,1+R96/S96*TAN(RADIANS(Shallow_Input!Y96)))</x:f>
      </x:c>
      <x:c r="AA96" s="16" t="e">
        <x:f>IF(B96="S",1,1-0.4*R96/S96)</x:f>
      </x:c>
      <x:c r="AB96" s="16" t="e">
        <x:f>1+0.4*IF(F96/MAX(R96,0.000001)&lt;=1,F96/MAX(R96,0.000001),ATAN(F96/MAX(R96,0.000001)))</x:f>
      </x:c>
      <x:c r="AC96" s="16" t="e">
        <x:f>1+2*TAN(RADIANS(Shallow_Input!U96))*(1-SIN(RADIANS(Shallow_Input!U96)))^2*IF(F96/MAX(R96,0.000001)&lt;=1,F96/MAX(R96,0.000001),ATAN(F96/MAX(R96,0.000001)))</x:f>
      </x:c>
      <x:c r="AD96" s="16" t="n">
        <x:f>1</x:f>
        <x:v>1</x:v>
      </x:c>
      <x:c r="AE96" s="16" t="e">
        <x:f>(1-U96/90)^2</x:f>
      </x:c>
      <x:c r="AF96" s="16" t="e">
        <x:f>(1-U96/90)^2</x:f>
      </x:c>
      <x:c r="AG96" s="16" t="n">
        <x:f>IF(Shallow_Input!Y96&gt;0,(1-U96/Shallow_Input!Y96)^2,1)</x:f>
        <x:v>1</x:v>
      </x:c>
      <x:c r="AH96" s="16" t="e">
        <x:f>J96/MAX(G96,0.000001)</x:f>
      </x:c>
      <x:c r="AI96" s="16" t="e">
        <x:f>H96/MAX(L96,0.000001)</x:f>
      </x:c>
      <x:c r="AJ96" s="16" t="e">
        <x:f>IF(K96&gt;=G96,"OK","NG")</x:f>
      </x:c>
      <x:c r="AK96" s="16" t="e">
        <x:f>IF(I96&gt;=L96,"OK","NG")</x:f>
      </x:c>
      <x:c r="AL96" s="16" t="e">
        <x:f>IF(M96&gt;=0,"OK","NG")</x:f>
      </x:c>
      <x:c r="AM96" s="16" t="e">
        <x:f>IF(F96/MAX(R96,0.000001)&lt;=1,"Shallow","Deep")</x:f>
      </x:c>
    </x:row>
    <x:row r="97">
      <x:c r="A97" s="16" t="n">
        <x:f>Shallow_Input!A97</x:f>
        <x:v>0</x:v>
      </x:c>
      <x:c r="B97" s="16" t="n">
        <x:f>Shallow_Input!B97</x:f>
        <x:v>0</x:v>
      </x:c>
      <x:c r="C97" s="16" t="n">
        <x:f>Shallow_Input!C97</x:f>
        <x:v>0</x:v>
      </x:c>
      <x:c r="D97" s="16" t="n">
        <x:f>Shallow_Input!D97</x:f>
        <x:v>0</x:v>
      </x:c>
      <x:c r="E97" s="16" t="e">
        <x:f>IF(B97="S",1,Shallow_Input!E97)</x:f>
      </x:c>
      <x:c r="F97" s="16" t="n">
        <x:f>Shallow_Input!F97</x:f>
        <x:v>0</x:v>
      </x:c>
      <x:c r="G97" s="16" t="e">
        <x:f>LET(B0,D97,L0,E97,D0,F97,t,Shallow_Input!G97,Cx,Shallow_Input!H97,Cy,Shallow_Input!I97,Ox,Shallow_Input!J97,Oy,IF(B97="S",0,Shallow_Input!K97),dw,Shallow_Input!L97,Qc,Shallow_Input!M97,g1u,Shallow_Input!R97,g1sat,Shallow_Input!S97,gc,Shallow_Input!Z97,g1ave,IF(dw&gt;=D0,g1u,IF(dw&lt;=0,g1sat,(g1u*dw+g1sat*(D0-dw))/D0)),g1ave*MAX(B0*L0-Cx*Cy,0)*MAX(D0-t,0)+gc*Cx*Cy*MAX(D0-t,0)+t*B0*L0*gc+Qc)</x:f>
      </x:c>
      <x:c r="H97" s="16" t="e">
        <x:f>LET(shape,B97,B0,D97,L0,E97,D0,F97,dw,Shallow_Input!L97,g1u,Shallow_Input!R97,g1sat,Shallow_Input!S97,gw,Shallow_Input!AA97,g2u,Shallow_Input!V97,g2sat,Shallow_Input!W97,analysis,C97,c2,Shallow_Input!X97,phi1,Shallow_Input!U97,phi2,Shallow_Input!Y97,Bef,R97,Nq,V97,Nc,W97,Ny,X97,Fcs,Y97,Fqs,Z97,Fys,AA97,Fcd,AB97,Fqd,AC97,Fyd,AD97,Fci,AE97,Fqi,AF97,Fyi,AG97,g1ave,IF(dw&gt;=D0,g1u,IF(dw&lt;=0,g1sat,(g1u*dw+g1sat*(D0-dw))/D0)),g1eff,IF(dw&gt;=D0,g1u,IF(dw&lt;=0,g1sat-gw,(g1u*dw+(g1sat-gw)*(D0-dw))/D0)),g2width,IF(shape="S",B0,Bef),g2ave,IF(dw&gt;=D0+g2width,g2u,IF(dw&lt;=D0,g2sat,(g2u*(dw-D0)+g2sat*(g2width-(dw-D0)))/g2width)),g2eff,IF(dw&gt;=D0+g2width,g2u,IF(dw&lt;=D0,g2sat-gw,(g2u*(dw-D0)+(g2sat-gw)*(g2width-(dw-D0)))/g2width)),g1used,IF(analysis="T",g1ave,g1eff),g2used,IF(analysis="T",g2ave,g2eff),q,g1used*D0,c2*Nc*Fcs*Fcd*Fci+q*Nq*Fqs*Fqd*Fqi+0.5*Bef*g2used*Ny*Fys*Fyd*Fyi)</x:f>
      </x:c>
      <x:c r="I97" s="16" t="e">
        <x:f>H97/Shallow_Input!AB97</x:f>
      </x:c>
      <x:c r="J97" s="16" t="e">
        <x:f>H97*T97</x:f>
      </x:c>
      <x:c r="K97" s="16" t="e">
        <x:f>I97*T97</x:f>
      </x:c>
      <x:c r="L97" s="16" t="e">
        <x:f>G97/(D97*E97)*(1+6*N97/D97+6*O97/E97)</x:f>
      </x:c>
      <x:c r="M97" s="16" t="e">
        <x:f>G97/(D97*E97)*(1-6*N97/D97-6*O97/E97)</x:f>
      </x:c>
      <x:c r="N97" s="16" t="e">
        <x:f>ABS((Shallow_Input!Z97*Shallow_Input!H97*Shallow_Input!I97*MAX(Shallow_Input!F97-Shallow_Input!G97,0)+Shallow_Input!M97)*Shallow_Input!J97+Shallow_Input!P97*Shallow_Input!F97+Shallow_Input!O97)/G97</x:f>
      </x:c>
      <x:c r="O97" s="16" t="e">
        <x:f>ABS(((Shallow_Input!Z97*Shallow_Input!H97*Shallow_Input!I97*MAX(Shallow_Input!F97-Shallow_Input!G97,0)+Shallow_Input!M97)*IF(B97="S",0,Shallow_Input!K97)+Shallow_Input!Q97*Shallow_Input!F97+IF(B97="S",0,Shallow_Input!N97))/G97)</x:f>
      </x:c>
      <x:c r="P97" s="16" t="e">
        <x:f>D97-2*N97</x:f>
      </x:c>
      <x:c r="Q97" s="16" t="e">
        <x:f>E97-2*O97</x:f>
      </x:c>
      <x:c r="R97" s="16" t="e">
        <x:f>MAX(P97,0.000001)</x:f>
      </x:c>
      <x:c r="S97" s="16" t="e">
        <x:f>IF(B97="S",1,MAX(Q97,0.000001))</x:f>
      </x:c>
      <x:c r="T97" s="16" t="e">
        <x:f>R97*S97</x:f>
      </x:c>
      <x:c r="U97" s="16" t="e">
        <x:f>DEGREES(ATAN(SQRT(Shallow_Input!P97^2+Shallow_Input!Q97^2)/G97))</x:f>
      </x:c>
      <x:c r="V97" s="16" t="n">
        <x:f>EXP(PI()*TAN(RADIANS(Shallow_Input!Y97)))*TAN(PI()/4+RADIANS(Shallow_Input!Y97)/2)^2</x:f>
        <x:v>0.9999999999999998</x:v>
      </x:c>
      <x:c r="W97" s="16" t="n">
        <x:f>IF(ABS(TAN(RADIANS(Shallow_Input!Y97)))&gt;0.0000001,(V97-1)/TAN(RADIANS(Shallow_Input!Y97)),5.14)</x:f>
        <x:v>5.14</x:v>
      </x:c>
      <x:c r="X97" s="16" t="n">
        <x:f>2*(V97+1)*TAN(RADIANS(Shallow_Input!Y97))</x:f>
        <x:v>0</x:v>
      </x:c>
      <x:c r="Y97" s="16" t="e">
        <x:f>IF(B97="S",1,1+R97/S97*V97/MAX(W97,0.000001))</x:f>
      </x:c>
      <x:c r="Z97" s="16" t="e">
        <x:f>IF(B97="S",1,1+R97/S97*TAN(RADIANS(Shallow_Input!Y97)))</x:f>
      </x:c>
      <x:c r="AA97" s="16" t="e">
        <x:f>IF(B97="S",1,1-0.4*R97/S97)</x:f>
      </x:c>
      <x:c r="AB97" s="16" t="e">
        <x:f>1+0.4*IF(F97/MAX(R97,0.000001)&lt;=1,F97/MAX(R97,0.000001),ATAN(F97/MAX(R97,0.000001)))</x:f>
      </x:c>
      <x:c r="AC97" s="16" t="e">
        <x:f>1+2*TAN(RADIANS(Shallow_Input!U97))*(1-SIN(RADIANS(Shallow_Input!U97)))^2*IF(F97/MAX(R97,0.000001)&lt;=1,F97/MAX(R97,0.000001),ATAN(F97/MAX(R97,0.000001)))</x:f>
      </x:c>
      <x:c r="AD97" s="16" t="n">
        <x:f>1</x:f>
        <x:v>1</x:v>
      </x:c>
      <x:c r="AE97" s="16" t="e">
        <x:f>(1-U97/90)^2</x:f>
      </x:c>
      <x:c r="AF97" s="16" t="e">
        <x:f>(1-U97/90)^2</x:f>
      </x:c>
      <x:c r="AG97" s="16" t="n">
        <x:f>IF(Shallow_Input!Y97&gt;0,(1-U97/Shallow_Input!Y97)^2,1)</x:f>
        <x:v>1</x:v>
      </x:c>
      <x:c r="AH97" s="16" t="e">
        <x:f>J97/MAX(G97,0.000001)</x:f>
      </x:c>
      <x:c r="AI97" s="16" t="e">
        <x:f>H97/MAX(L97,0.000001)</x:f>
      </x:c>
      <x:c r="AJ97" s="16" t="e">
        <x:f>IF(K97&gt;=G97,"OK","NG")</x:f>
      </x:c>
      <x:c r="AK97" s="16" t="e">
        <x:f>IF(I97&gt;=L97,"OK","NG")</x:f>
      </x:c>
      <x:c r="AL97" s="16" t="e">
        <x:f>IF(M97&gt;=0,"OK","NG")</x:f>
      </x:c>
      <x:c r="AM97" s="16" t="e">
        <x:f>IF(F97/MAX(R97,0.000001)&lt;=1,"Shallow","Deep")</x:f>
      </x:c>
    </x:row>
    <x:row r="98">
      <x:c r="A98" s="16" t="n">
        <x:f>Shallow_Input!A98</x:f>
        <x:v>0</x:v>
      </x:c>
      <x:c r="B98" s="16" t="n">
        <x:f>Shallow_Input!B98</x:f>
        <x:v>0</x:v>
      </x:c>
      <x:c r="C98" s="16" t="n">
        <x:f>Shallow_Input!C98</x:f>
        <x:v>0</x:v>
      </x:c>
      <x:c r="D98" s="16" t="n">
        <x:f>Shallow_Input!D98</x:f>
        <x:v>0</x:v>
      </x:c>
      <x:c r="E98" s="16" t="e">
        <x:f>IF(B98="S",1,Shallow_Input!E98)</x:f>
      </x:c>
      <x:c r="F98" s="16" t="n">
        <x:f>Shallow_Input!F98</x:f>
        <x:v>0</x:v>
      </x:c>
      <x:c r="G98" s="16" t="e">
        <x:f>LET(B0,D98,L0,E98,D0,F98,t,Shallow_Input!G98,Cx,Shallow_Input!H98,Cy,Shallow_Input!I98,Ox,Shallow_Input!J98,Oy,IF(B98="S",0,Shallow_Input!K98),dw,Shallow_Input!L98,Qc,Shallow_Input!M98,g1u,Shallow_Input!R98,g1sat,Shallow_Input!S98,gc,Shallow_Input!Z98,g1ave,IF(dw&gt;=D0,g1u,IF(dw&lt;=0,g1sat,(g1u*dw+g1sat*(D0-dw))/D0)),g1ave*MAX(B0*L0-Cx*Cy,0)*MAX(D0-t,0)+gc*Cx*Cy*MAX(D0-t,0)+t*B0*L0*gc+Qc)</x:f>
      </x:c>
      <x:c r="H98" s="16" t="e">
        <x:f>LET(shape,B98,B0,D98,L0,E98,D0,F98,dw,Shallow_Input!L98,g1u,Shallow_Input!R98,g1sat,Shallow_Input!S98,gw,Shallow_Input!AA98,g2u,Shallow_Input!V98,g2sat,Shallow_Input!W98,analysis,C98,c2,Shallow_Input!X98,phi1,Shallow_Input!U98,phi2,Shallow_Input!Y98,Bef,R98,Nq,V98,Nc,W98,Ny,X98,Fcs,Y98,Fqs,Z98,Fys,AA98,Fcd,AB98,Fqd,AC98,Fyd,AD98,Fci,AE98,Fqi,AF98,Fyi,AG98,g1ave,IF(dw&gt;=D0,g1u,IF(dw&lt;=0,g1sat,(g1u*dw+g1sat*(D0-dw))/D0)),g1eff,IF(dw&gt;=D0,g1u,IF(dw&lt;=0,g1sat-gw,(g1u*dw+(g1sat-gw)*(D0-dw))/D0)),g2width,IF(shape="S",B0,Bef),g2ave,IF(dw&gt;=D0+g2width,g2u,IF(dw&lt;=D0,g2sat,(g2u*(dw-D0)+g2sat*(g2width-(dw-D0)))/g2width)),g2eff,IF(dw&gt;=D0+g2width,g2u,IF(dw&lt;=D0,g2sat-gw,(g2u*(dw-D0)+(g2sat-gw)*(g2width-(dw-D0)))/g2width)),g1used,IF(analysis="T",g1ave,g1eff),g2used,IF(analysis="T",g2ave,g2eff),q,g1used*D0,c2*Nc*Fcs*Fcd*Fci+q*Nq*Fqs*Fqd*Fqi+0.5*Bef*g2used*Ny*Fys*Fyd*Fyi)</x:f>
      </x:c>
      <x:c r="I98" s="16" t="e">
        <x:f>H98/Shallow_Input!AB98</x:f>
      </x:c>
      <x:c r="J98" s="16" t="e">
        <x:f>H98*T98</x:f>
      </x:c>
      <x:c r="K98" s="16" t="e">
        <x:f>I98*T98</x:f>
      </x:c>
      <x:c r="L98" s="16" t="e">
        <x:f>G98/(D98*E98)*(1+6*N98/D98+6*O98/E98)</x:f>
      </x:c>
      <x:c r="M98" s="16" t="e">
        <x:f>G98/(D98*E98)*(1-6*N98/D98-6*O98/E98)</x:f>
      </x:c>
      <x:c r="N98" s="16" t="e">
        <x:f>ABS((Shallow_Input!Z98*Shallow_Input!H98*Shallow_Input!I98*MAX(Shallow_Input!F98-Shallow_Input!G98,0)+Shallow_Input!M98)*Shallow_Input!J98+Shallow_Input!P98*Shallow_Input!F98+Shallow_Input!O98)/G98</x:f>
      </x:c>
      <x:c r="O98" s="16" t="e">
        <x:f>ABS(((Shallow_Input!Z98*Shallow_Input!H98*Shallow_Input!I98*MAX(Shallow_Input!F98-Shallow_Input!G98,0)+Shallow_Input!M98)*IF(B98="S",0,Shallow_Input!K98)+Shallow_Input!Q98*Shallow_Input!F98+IF(B98="S",0,Shallow_Input!N98))/G98)</x:f>
      </x:c>
      <x:c r="P98" s="16" t="e">
        <x:f>D98-2*N98</x:f>
      </x:c>
      <x:c r="Q98" s="16" t="e">
        <x:f>E98-2*O98</x:f>
      </x:c>
      <x:c r="R98" s="16" t="e">
        <x:f>MAX(P98,0.000001)</x:f>
      </x:c>
      <x:c r="S98" s="16" t="e">
        <x:f>IF(B98="S",1,MAX(Q98,0.000001))</x:f>
      </x:c>
      <x:c r="T98" s="16" t="e">
        <x:f>R98*S98</x:f>
      </x:c>
      <x:c r="U98" s="16" t="e">
        <x:f>DEGREES(ATAN(SQRT(Shallow_Input!P98^2+Shallow_Input!Q98^2)/G98))</x:f>
      </x:c>
      <x:c r="V98" s="16" t="n">
        <x:f>EXP(PI()*TAN(RADIANS(Shallow_Input!Y98)))*TAN(PI()/4+RADIANS(Shallow_Input!Y98)/2)^2</x:f>
        <x:v>0.9999999999999998</x:v>
      </x:c>
      <x:c r="W98" s="16" t="n">
        <x:f>IF(ABS(TAN(RADIANS(Shallow_Input!Y98)))&gt;0.0000001,(V98-1)/TAN(RADIANS(Shallow_Input!Y98)),5.14)</x:f>
        <x:v>5.14</x:v>
      </x:c>
      <x:c r="X98" s="16" t="n">
        <x:f>2*(V98+1)*TAN(RADIANS(Shallow_Input!Y98))</x:f>
        <x:v>0</x:v>
      </x:c>
      <x:c r="Y98" s="16" t="e">
        <x:f>IF(B98="S",1,1+R98/S98*V98/MAX(W98,0.000001))</x:f>
      </x:c>
      <x:c r="Z98" s="16" t="e">
        <x:f>IF(B98="S",1,1+R98/S98*TAN(RADIANS(Shallow_Input!Y98)))</x:f>
      </x:c>
      <x:c r="AA98" s="16" t="e">
        <x:f>IF(B98="S",1,1-0.4*R98/S98)</x:f>
      </x:c>
      <x:c r="AB98" s="16" t="e">
        <x:f>1+0.4*IF(F98/MAX(R98,0.000001)&lt;=1,F98/MAX(R98,0.000001),ATAN(F98/MAX(R98,0.000001)))</x:f>
      </x:c>
      <x:c r="AC98" s="16" t="e">
        <x:f>1+2*TAN(RADIANS(Shallow_Input!U98))*(1-SIN(RADIANS(Shallow_Input!U98)))^2*IF(F98/MAX(R98,0.000001)&lt;=1,F98/MAX(R98,0.000001),ATAN(F98/MAX(R98,0.000001)))</x:f>
      </x:c>
      <x:c r="AD98" s="16" t="n">
        <x:f>1</x:f>
        <x:v>1</x:v>
      </x:c>
      <x:c r="AE98" s="16" t="e">
        <x:f>(1-U98/90)^2</x:f>
      </x:c>
      <x:c r="AF98" s="16" t="e">
        <x:f>(1-U98/90)^2</x:f>
      </x:c>
      <x:c r="AG98" s="16" t="n">
        <x:f>IF(Shallow_Input!Y98&gt;0,(1-U98/Shallow_Input!Y98)^2,1)</x:f>
        <x:v>1</x:v>
      </x:c>
      <x:c r="AH98" s="16" t="e">
        <x:f>J98/MAX(G98,0.000001)</x:f>
      </x:c>
      <x:c r="AI98" s="16" t="e">
        <x:f>H98/MAX(L98,0.000001)</x:f>
      </x:c>
      <x:c r="AJ98" s="16" t="e">
        <x:f>IF(K98&gt;=G98,"OK","NG")</x:f>
      </x:c>
      <x:c r="AK98" s="16" t="e">
        <x:f>IF(I98&gt;=L98,"OK","NG")</x:f>
      </x:c>
      <x:c r="AL98" s="16" t="e">
        <x:f>IF(M98&gt;=0,"OK","NG")</x:f>
      </x:c>
      <x:c r="AM98" s="16" t="e">
        <x:f>IF(F98/MAX(R98,0.000001)&lt;=1,"Shallow","Deep")</x:f>
      </x:c>
    </x:row>
    <x:row r="99">
      <x:c r="A99" s="16" t="n">
        <x:f>Shallow_Input!A99</x:f>
        <x:v>0</x:v>
      </x:c>
      <x:c r="B99" s="16" t="n">
        <x:f>Shallow_Input!B99</x:f>
        <x:v>0</x:v>
      </x:c>
      <x:c r="C99" s="16" t="n">
        <x:f>Shallow_Input!C99</x:f>
        <x:v>0</x:v>
      </x:c>
      <x:c r="D99" s="16" t="n">
        <x:f>Shallow_Input!D99</x:f>
        <x:v>0</x:v>
      </x:c>
      <x:c r="E99" s="16" t="e">
        <x:f>IF(B99="S",1,Shallow_Input!E99)</x:f>
      </x:c>
      <x:c r="F99" s="16" t="n">
        <x:f>Shallow_Input!F99</x:f>
        <x:v>0</x:v>
      </x:c>
      <x:c r="G99" s="16" t="e">
        <x:f>LET(B0,D99,L0,E99,D0,F99,t,Shallow_Input!G99,Cx,Shallow_Input!H99,Cy,Shallow_Input!I99,Ox,Shallow_Input!J99,Oy,IF(B99="S",0,Shallow_Input!K99),dw,Shallow_Input!L99,Qc,Shallow_Input!M99,g1u,Shallow_Input!R99,g1sat,Shallow_Input!S99,gc,Shallow_Input!Z99,g1ave,IF(dw&gt;=D0,g1u,IF(dw&lt;=0,g1sat,(g1u*dw+g1sat*(D0-dw))/D0)),g1ave*MAX(B0*L0-Cx*Cy,0)*MAX(D0-t,0)+gc*Cx*Cy*MAX(D0-t,0)+t*B0*L0*gc+Qc)</x:f>
      </x:c>
      <x:c r="H99" s="16" t="e">
        <x:f>LET(shape,B99,B0,D99,L0,E99,D0,F99,dw,Shallow_Input!L99,g1u,Shallow_Input!R99,g1sat,Shallow_Input!S99,gw,Shallow_Input!AA99,g2u,Shallow_Input!V99,g2sat,Shallow_Input!W99,analysis,C99,c2,Shallow_Input!X99,phi1,Shallow_Input!U99,phi2,Shallow_Input!Y99,Bef,R99,Nq,V99,Nc,W99,Ny,X99,Fcs,Y99,Fqs,Z99,Fys,AA99,Fcd,AB99,Fqd,AC99,Fyd,AD99,Fci,AE99,Fqi,AF99,Fyi,AG99,g1ave,IF(dw&gt;=D0,g1u,IF(dw&lt;=0,g1sat,(g1u*dw+g1sat*(D0-dw))/D0)),g1eff,IF(dw&gt;=D0,g1u,IF(dw&lt;=0,g1sat-gw,(g1u*dw+(g1sat-gw)*(D0-dw))/D0)),g2width,IF(shape="S",B0,Bef),g2ave,IF(dw&gt;=D0+g2width,g2u,IF(dw&lt;=D0,g2sat,(g2u*(dw-D0)+g2sat*(g2width-(dw-D0)))/g2width)),g2eff,IF(dw&gt;=D0+g2width,g2u,IF(dw&lt;=D0,g2sat-gw,(g2u*(dw-D0)+(g2sat-gw)*(g2width-(dw-D0)))/g2width)),g1used,IF(analysis="T",g1ave,g1eff),g2used,IF(analysis="T",g2ave,g2eff),q,g1used*D0,c2*Nc*Fcs*Fcd*Fci+q*Nq*Fqs*Fqd*Fqi+0.5*Bef*g2used*Ny*Fys*Fyd*Fyi)</x:f>
      </x:c>
      <x:c r="I99" s="16" t="e">
        <x:f>H99/Shallow_Input!AB99</x:f>
      </x:c>
      <x:c r="J99" s="16" t="e">
        <x:f>H99*T99</x:f>
      </x:c>
      <x:c r="K99" s="16" t="e">
        <x:f>I99*T99</x:f>
      </x:c>
      <x:c r="L99" s="16" t="e">
        <x:f>G99/(D99*E99)*(1+6*N99/D99+6*O99/E99)</x:f>
      </x:c>
      <x:c r="M99" s="16" t="e">
        <x:f>G99/(D99*E99)*(1-6*N99/D99-6*O99/E99)</x:f>
      </x:c>
      <x:c r="N99" s="16" t="e">
        <x:f>ABS((Shallow_Input!Z99*Shallow_Input!H99*Shallow_Input!I99*MAX(Shallow_Input!F99-Shallow_Input!G99,0)+Shallow_Input!M99)*Shallow_Input!J99+Shallow_Input!P99*Shallow_Input!F99+Shallow_Input!O99)/G99</x:f>
      </x:c>
      <x:c r="O99" s="16" t="e">
        <x:f>ABS(((Shallow_Input!Z99*Shallow_Input!H99*Shallow_Input!I99*MAX(Shallow_Input!F99-Shallow_Input!G99,0)+Shallow_Input!M99)*IF(B99="S",0,Shallow_Input!K99)+Shallow_Input!Q99*Shallow_Input!F99+IF(B99="S",0,Shallow_Input!N99))/G99)</x:f>
      </x:c>
      <x:c r="P99" s="16" t="e">
        <x:f>D99-2*N99</x:f>
      </x:c>
      <x:c r="Q99" s="16" t="e">
        <x:f>E99-2*O99</x:f>
      </x:c>
      <x:c r="R99" s="16" t="e">
        <x:f>MAX(P99,0.000001)</x:f>
      </x:c>
      <x:c r="S99" s="16" t="e">
        <x:f>IF(B99="S",1,MAX(Q99,0.000001))</x:f>
      </x:c>
      <x:c r="T99" s="16" t="e">
        <x:f>R99*S99</x:f>
      </x:c>
      <x:c r="U99" s="16" t="e">
        <x:f>DEGREES(ATAN(SQRT(Shallow_Input!P99^2+Shallow_Input!Q99^2)/G99))</x:f>
      </x:c>
      <x:c r="V99" s="16" t="n">
        <x:f>EXP(PI()*TAN(RADIANS(Shallow_Input!Y99)))*TAN(PI()/4+RADIANS(Shallow_Input!Y99)/2)^2</x:f>
        <x:v>0.9999999999999998</x:v>
      </x:c>
      <x:c r="W99" s="16" t="n">
        <x:f>IF(ABS(TAN(RADIANS(Shallow_Input!Y99)))&gt;0.0000001,(V99-1)/TAN(RADIANS(Shallow_Input!Y99)),5.14)</x:f>
        <x:v>5.14</x:v>
      </x:c>
      <x:c r="X99" s="16" t="n">
        <x:f>2*(V99+1)*TAN(RADIANS(Shallow_Input!Y99))</x:f>
        <x:v>0</x:v>
      </x:c>
      <x:c r="Y99" s="16" t="e">
        <x:f>IF(B99="S",1,1+R99/S99*V99/MAX(W99,0.000001))</x:f>
      </x:c>
      <x:c r="Z99" s="16" t="e">
        <x:f>IF(B99="S",1,1+R99/S99*TAN(RADIANS(Shallow_Input!Y99)))</x:f>
      </x:c>
      <x:c r="AA99" s="16" t="e">
        <x:f>IF(B99="S",1,1-0.4*R99/S99)</x:f>
      </x:c>
      <x:c r="AB99" s="16" t="e">
        <x:f>1+0.4*IF(F99/MAX(R99,0.000001)&lt;=1,F99/MAX(R99,0.000001),ATAN(F99/MAX(R99,0.000001)))</x:f>
      </x:c>
      <x:c r="AC99" s="16" t="e">
        <x:f>1+2*TAN(RADIANS(Shallow_Input!U99))*(1-SIN(RADIANS(Shallow_Input!U99)))^2*IF(F99/MAX(R99,0.000001)&lt;=1,F99/MAX(R99,0.000001),ATAN(F99/MAX(R99,0.000001)))</x:f>
      </x:c>
      <x:c r="AD99" s="16" t="n">
        <x:f>1</x:f>
        <x:v>1</x:v>
      </x:c>
      <x:c r="AE99" s="16" t="e">
        <x:f>(1-U99/90)^2</x:f>
      </x:c>
      <x:c r="AF99" s="16" t="e">
        <x:f>(1-U99/90)^2</x:f>
      </x:c>
      <x:c r="AG99" s="16" t="n">
        <x:f>IF(Shallow_Input!Y99&gt;0,(1-U99/Shallow_Input!Y99)^2,1)</x:f>
        <x:v>1</x:v>
      </x:c>
      <x:c r="AH99" s="16" t="e">
        <x:f>J99/MAX(G99,0.000001)</x:f>
      </x:c>
      <x:c r="AI99" s="16" t="e">
        <x:f>H99/MAX(L99,0.000001)</x:f>
      </x:c>
      <x:c r="AJ99" s="16" t="e">
        <x:f>IF(K99&gt;=G99,"OK","NG")</x:f>
      </x:c>
      <x:c r="AK99" s="16" t="e">
        <x:f>IF(I99&gt;=L99,"OK","NG")</x:f>
      </x:c>
      <x:c r="AL99" s="16" t="e">
        <x:f>IF(M99&gt;=0,"OK","NG")</x:f>
      </x:c>
      <x:c r="AM99" s="16" t="e">
        <x:f>IF(F99/MAX(R99,0.000001)&lt;=1,"Shallow","Deep")</x:f>
      </x:c>
    </x:row>
    <x:row r="100">
      <x:c r="A100" s="16" t="n">
        <x:f>Shallow_Input!A100</x:f>
        <x:v>0</x:v>
      </x:c>
      <x:c r="B100" s="16" t="n">
        <x:f>Shallow_Input!B100</x:f>
        <x:v>0</x:v>
      </x:c>
      <x:c r="C100" s="16" t="n">
        <x:f>Shallow_Input!C100</x:f>
        <x:v>0</x:v>
      </x:c>
      <x:c r="D100" s="16" t="n">
        <x:f>Shallow_Input!D100</x:f>
        <x:v>0</x:v>
      </x:c>
      <x:c r="E100" s="16" t="e">
        <x:f>IF(B100="S",1,Shallow_Input!E100)</x:f>
      </x:c>
      <x:c r="F100" s="16" t="n">
        <x:f>Shallow_Input!F100</x:f>
        <x:v>0</x:v>
      </x:c>
      <x:c r="G100" s="16" t="e">
        <x:f>LET(B0,D100,L0,E100,D0,F100,t,Shallow_Input!G100,Cx,Shallow_Input!H100,Cy,Shallow_Input!I100,Ox,Shallow_Input!J100,Oy,IF(B100="S",0,Shallow_Input!K100),dw,Shallow_Input!L100,Qc,Shallow_Input!M100,g1u,Shallow_Input!R100,g1sat,Shallow_Input!S100,gc,Shallow_Input!Z100,g1ave,IF(dw&gt;=D0,g1u,IF(dw&lt;=0,g1sat,(g1u*dw+g1sat*(D0-dw))/D0)),g1ave*MAX(B0*L0-Cx*Cy,0)*MAX(D0-t,0)+gc*Cx*Cy*MAX(D0-t,0)+t*B0*L0*gc+Qc)</x:f>
      </x:c>
      <x:c r="H100" s="16" t="e">
        <x:f>LET(shape,B100,B0,D100,L0,E100,D0,F100,dw,Shallow_Input!L100,g1u,Shallow_Input!R100,g1sat,Shallow_Input!S100,gw,Shallow_Input!AA100,g2u,Shallow_Input!V100,g2sat,Shallow_Input!W100,analysis,C100,c2,Shallow_Input!X100,phi1,Shallow_Input!U100,phi2,Shallow_Input!Y100,Bef,R100,Nq,V100,Nc,W100,Ny,X100,Fcs,Y100,Fqs,Z100,Fys,AA100,Fcd,AB100,Fqd,AC100,Fyd,AD100,Fci,AE100,Fqi,AF100,Fyi,AG100,g1ave,IF(dw&gt;=D0,g1u,IF(dw&lt;=0,g1sat,(g1u*dw+g1sat*(D0-dw))/D0)),g1eff,IF(dw&gt;=D0,g1u,IF(dw&lt;=0,g1sat-gw,(g1u*dw+(g1sat-gw)*(D0-dw))/D0)),g2width,IF(shape="S",B0,Bef),g2ave,IF(dw&gt;=D0+g2width,g2u,IF(dw&lt;=D0,g2sat,(g2u*(dw-D0)+g2sat*(g2width-(dw-D0)))/g2width)),g2eff,IF(dw&gt;=D0+g2width,g2u,IF(dw&lt;=D0,g2sat-gw,(g2u*(dw-D0)+(g2sat-gw)*(g2width-(dw-D0)))/g2width)),g1used,IF(analysis="T",g1ave,g1eff),g2used,IF(analysis="T",g2ave,g2eff),q,g1used*D0,c2*Nc*Fcs*Fcd*Fci+q*Nq*Fqs*Fqd*Fqi+0.5*Bef*g2used*Ny*Fys*Fyd*Fyi)</x:f>
      </x:c>
      <x:c r="I100" s="16" t="e">
        <x:f>H100/Shallow_Input!AB100</x:f>
      </x:c>
      <x:c r="J100" s="16" t="e">
        <x:f>H100*T100</x:f>
      </x:c>
      <x:c r="K100" s="16" t="e">
        <x:f>I100*T100</x:f>
      </x:c>
      <x:c r="L100" s="16" t="e">
        <x:f>G100/(D100*E100)*(1+6*N100/D100+6*O100/E100)</x:f>
      </x:c>
      <x:c r="M100" s="16" t="e">
        <x:f>G100/(D100*E100)*(1-6*N100/D100-6*O100/E100)</x:f>
      </x:c>
      <x:c r="N100" s="16" t="e">
        <x:f>ABS((Shallow_Input!Z100*Shallow_Input!H100*Shallow_Input!I100*MAX(Shallow_Input!F100-Shallow_Input!G100,0)+Shallow_Input!M100)*Shallow_Input!J100+Shallow_Input!P100*Shallow_Input!F100+Shallow_Input!O100)/G100</x:f>
      </x:c>
      <x:c r="O100" s="16" t="e">
        <x:f>ABS(((Shallow_Input!Z100*Shallow_Input!H100*Shallow_Input!I100*MAX(Shallow_Input!F100-Shallow_Input!G100,0)+Shallow_Input!M100)*IF(B100="S",0,Shallow_Input!K100)+Shallow_Input!Q100*Shallow_Input!F100+IF(B100="S",0,Shallow_Input!N100))/G100)</x:f>
      </x:c>
      <x:c r="P100" s="16" t="e">
        <x:f>D100-2*N100</x:f>
      </x:c>
      <x:c r="Q100" s="16" t="e">
        <x:f>E100-2*O100</x:f>
      </x:c>
      <x:c r="R100" s="16" t="e">
        <x:f>MAX(P100,0.000001)</x:f>
      </x:c>
      <x:c r="S100" s="16" t="e">
        <x:f>IF(B100="S",1,MAX(Q100,0.000001))</x:f>
      </x:c>
      <x:c r="T100" s="16" t="e">
        <x:f>R100*S100</x:f>
      </x:c>
      <x:c r="U100" s="16" t="e">
        <x:f>DEGREES(ATAN(SQRT(Shallow_Input!P100^2+Shallow_Input!Q100^2)/G100))</x:f>
      </x:c>
      <x:c r="V100" s="16" t="n">
        <x:f>EXP(PI()*TAN(RADIANS(Shallow_Input!Y100)))*TAN(PI()/4+RADIANS(Shallow_Input!Y100)/2)^2</x:f>
        <x:v>0.9999999999999998</x:v>
      </x:c>
      <x:c r="W100" s="16" t="n">
        <x:f>IF(ABS(TAN(RADIANS(Shallow_Input!Y100)))&gt;0.0000001,(V100-1)/TAN(RADIANS(Shallow_Input!Y100)),5.14)</x:f>
        <x:v>5.14</x:v>
      </x:c>
      <x:c r="X100" s="16" t="n">
        <x:f>2*(V100+1)*TAN(RADIANS(Shallow_Input!Y100))</x:f>
        <x:v>0</x:v>
      </x:c>
      <x:c r="Y100" s="16" t="e">
        <x:f>IF(B100="S",1,1+R100/S100*V100/MAX(W100,0.000001))</x:f>
      </x:c>
      <x:c r="Z100" s="16" t="e">
        <x:f>IF(B100="S",1,1+R100/S100*TAN(RADIANS(Shallow_Input!Y100)))</x:f>
      </x:c>
      <x:c r="AA100" s="16" t="e">
        <x:f>IF(B100="S",1,1-0.4*R100/S100)</x:f>
      </x:c>
      <x:c r="AB100" s="16" t="e">
        <x:f>1+0.4*IF(F100/MAX(R100,0.000001)&lt;=1,F100/MAX(R100,0.000001),ATAN(F100/MAX(R100,0.000001)))</x:f>
      </x:c>
      <x:c r="AC100" s="16" t="e">
        <x:f>1+2*TAN(RADIANS(Shallow_Input!U100))*(1-SIN(RADIANS(Shallow_Input!U100)))^2*IF(F100/MAX(R100,0.000001)&lt;=1,F100/MAX(R100,0.000001),ATAN(F100/MAX(R100,0.000001)))</x:f>
      </x:c>
      <x:c r="AD100" s="16" t="n">
        <x:f>1</x:f>
        <x:v>1</x:v>
      </x:c>
      <x:c r="AE100" s="16" t="e">
        <x:f>(1-U100/90)^2</x:f>
      </x:c>
      <x:c r="AF100" s="16" t="e">
        <x:f>(1-U100/90)^2</x:f>
      </x:c>
      <x:c r="AG100" s="16" t="n">
        <x:f>IF(Shallow_Input!Y100&gt;0,(1-U100/Shallow_Input!Y100)^2,1)</x:f>
        <x:v>1</x:v>
      </x:c>
      <x:c r="AH100" s="16" t="e">
        <x:f>J100/MAX(G100,0.000001)</x:f>
      </x:c>
      <x:c r="AI100" s="16" t="e">
        <x:f>H100/MAX(L100,0.000001)</x:f>
      </x:c>
      <x:c r="AJ100" s="16" t="e">
        <x:f>IF(K100&gt;=G100,"OK","NG")</x:f>
      </x:c>
      <x:c r="AK100" s="16" t="e">
        <x:f>IF(I100&gt;=L100,"OK","NG")</x:f>
      </x:c>
      <x:c r="AL100" s="16" t="e">
        <x:f>IF(M100&gt;=0,"OK","NG")</x:f>
      </x:c>
      <x:c r="AM100" s="16" t="e">
        <x:f>IF(F100/MAX(R100,0.000001)&lt;=1,"Shallow","Deep")</x:f>
      </x:c>
    </x:row>
    <x:row r="101">
      <x:c r="A101" s="16" t="n">
        <x:f>Shallow_Input!A101</x:f>
        <x:v>0</x:v>
      </x:c>
      <x:c r="B101" s="16" t="n">
        <x:f>Shallow_Input!B101</x:f>
        <x:v>0</x:v>
      </x:c>
      <x:c r="C101" s="16" t="n">
        <x:f>Shallow_Input!C101</x:f>
        <x:v>0</x:v>
      </x:c>
      <x:c r="D101" s="16" t="n">
        <x:f>Shallow_Input!D101</x:f>
        <x:v>0</x:v>
      </x:c>
      <x:c r="E101" s="16" t="e">
        <x:f>IF(B101="S",1,Shallow_Input!E101)</x:f>
      </x:c>
      <x:c r="F101" s="16" t="n">
        <x:f>Shallow_Input!F101</x:f>
        <x:v>0</x:v>
      </x:c>
      <x:c r="G101" s="16" t="e">
        <x:f>LET(B0,D101,L0,E101,D0,F101,t,Shallow_Input!G101,Cx,Shallow_Input!H101,Cy,Shallow_Input!I101,Ox,Shallow_Input!J101,Oy,IF(B101="S",0,Shallow_Input!K101),dw,Shallow_Input!L101,Qc,Shallow_Input!M101,g1u,Shallow_Input!R101,g1sat,Shallow_Input!S101,gc,Shallow_Input!Z101,g1ave,IF(dw&gt;=D0,g1u,IF(dw&lt;=0,g1sat,(g1u*dw+g1sat*(D0-dw))/D0)),g1ave*MAX(B0*L0-Cx*Cy,0)*MAX(D0-t,0)+gc*Cx*Cy*MAX(D0-t,0)+t*B0*L0*gc+Qc)</x:f>
      </x:c>
      <x:c r="H101" s="16" t="e">
        <x:f>LET(shape,B101,B0,D101,L0,E101,D0,F101,dw,Shallow_Input!L101,g1u,Shallow_Input!R101,g1sat,Shallow_Input!S101,gw,Shallow_Input!AA101,g2u,Shallow_Input!V101,g2sat,Shallow_Input!W101,analysis,C101,c2,Shallow_Input!X101,phi1,Shallow_Input!U101,phi2,Shallow_Input!Y101,Bef,R101,Nq,V101,Nc,W101,Ny,X101,Fcs,Y101,Fqs,Z101,Fys,AA101,Fcd,AB101,Fqd,AC101,Fyd,AD101,Fci,AE101,Fqi,AF101,Fyi,AG101,g1ave,IF(dw&gt;=D0,g1u,IF(dw&lt;=0,g1sat,(g1u*dw+g1sat*(D0-dw))/D0)),g1eff,IF(dw&gt;=D0,g1u,IF(dw&lt;=0,g1sat-gw,(g1u*dw+(g1sat-gw)*(D0-dw))/D0)),g2width,IF(shape="S",B0,Bef),g2ave,IF(dw&gt;=D0+g2width,g2u,IF(dw&lt;=D0,g2sat,(g2u*(dw-D0)+g2sat*(g2width-(dw-D0)))/g2width)),g2eff,IF(dw&gt;=D0+g2width,g2u,IF(dw&lt;=D0,g2sat-gw,(g2u*(dw-D0)+(g2sat-gw)*(g2width-(dw-D0)))/g2width)),g1used,IF(analysis="T",g1ave,g1eff),g2used,IF(analysis="T",g2ave,g2eff),q,g1used*D0,c2*Nc*Fcs*Fcd*Fci+q*Nq*Fqs*Fqd*Fqi+0.5*Bef*g2used*Ny*Fys*Fyd*Fyi)</x:f>
      </x:c>
      <x:c r="I101" s="16" t="e">
        <x:f>H101/Shallow_Input!AB101</x:f>
      </x:c>
      <x:c r="J101" s="16" t="e">
        <x:f>H101*T101</x:f>
      </x:c>
      <x:c r="K101" s="16" t="e">
        <x:f>I101*T101</x:f>
      </x:c>
      <x:c r="L101" s="16" t="e">
        <x:f>G101/(D101*E101)*(1+6*N101/D101+6*O101/E101)</x:f>
      </x:c>
      <x:c r="M101" s="16" t="e">
        <x:f>G101/(D101*E101)*(1-6*N101/D101-6*O101/E101)</x:f>
      </x:c>
      <x:c r="N101" s="16" t="e">
        <x:f>ABS((Shallow_Input!Z101*Shallow_Input!H101*Shallow_Input!I101*MAX(Shallow_Input!F101-Shallow_Input!G101,0)+Shallow_Input!M101)*Shallow_Input!J101+Shallow_Input!P101*Shallow_Input!F101+Shallow_Input!O101)/G101</x:f>
      </x:c>
      <x:c r="O101" s="16" t="e">
        <x:f>ABS(((Shallow_Input!Z101*Shallow_Input!H101*Shallow_Input!I101*MAX(Shallow_Input!F101-Shallow_Input!G101,0)+Shallow_Input!M101)*IF(B101="S",0,Shallow_Input!K101)+Shallow_Input!Q101*Shallow_Input!F101+IF(B101="S",0,Shallow_Input!N101))/G101)</x:f>
      </x:c>
      <x:c r="P101" s="16" t="e">
        <x:f>D101-2*N101</x:f>
      </x:c>
      <x:c r="Q101" s="16" t="e">
        <x:f>E101-2*O101</x:f>
      </x:c>
      <x:c r="R101" s="16" t="e">
        <x:f>MAX(P101,0.000001)</x:f>
      </x:c>
      <x:c r="S101" s="16" t="e">
        <x:f>IF(B101="S",1,MAX(Q101,0.000001))</x:f>
      </x:c>
      <x:c r="T101" s="16" t="e">
        <x:f>R101*S101</x:f>
      </x:c>
      <x:c r="U101" s="16" t="e">
        <x:f>DEGREES(ATAN(SQRT(Shallow_Input!P101^2+Shallow_Input!Q101^2)/G101))</x:f>
      </x:c>
      <x:c r="V101" s="16" t="n">
        <x:f>EXP(PI()*TAN(RADIANS(Shallow_Input!Y101)))*TAN(PI()/4+RADIANS(Shallow_Input!Y101)/2)^2</x:f>
        <x:v>0.9999999999999998</x:v>
      </x:c>
      <x:c r="W101" s="16" t="n">
        <x:f>IF(ABS(TAN(RADIANS(Shallow_Input!Y101)))&gt;0.0000001,(V101-1)/TAN(RADIANS(Shallow_Input!Y101)),5.14)</x:f>
        <x:v>5.14</x:v>
      </x:c>
      <x:c r="X101" s="16" t="n">
        <x:f>2*(V101+1)*TAN(RADIANS(Shallow_Input!Y101))</x:f>
        <x:v>0</x:v>
      </x:c>
      <x:c r="Y101" s="16" t="e">
        <x:f>IF(B101="S",1,1+R101/S101*V101/MAX(W101,0.000001))</x:f>
      </x:c>
      <x:c r="Z101" s="16" t="e">
        <x:f>IF(B101="S",1,1+R101/S101*TAN(RADIANS(Shallow_Input!Y101)))</x:f>
      </x:c>
      <x:c r="AA101" s="16" t="e">
        <x:f>IF(B101="S",1,1-0.4*R101/S101)</x:f>
      </x:c>
      <x:c r="AB101" s="16" t="e">
        <x:f>1+0.4*IF(F101/MAX(R101,0.000001)&lt;=1,F101/MAX(R101,0.000001),ATAN(F101/MAX(R101,0.000001)))</x:f>
      </x:c>
      <x:c r="AC101" s="16" t="e">
        <x:f>1+2*TAN(RADIANS(Shallow_Input!U101))*(1-SIN(RADIANS(Shallow_Input!U101)))^2*IF(F101/MAX(R101,0.000001)&lt;=1,F101/MAX(R101,0.000001),ATAN(F101/MAX(R101,0.000001)))</x:f>
      </x:c>
      <x:c r="AD101" s="16" t="n">
        <x:f>1</x:f>
        <x:v>1</x:v>
      </x:c>
      <x:c r="AE101" s="16" t="e">
        <x:f>(1-U101/90)^2</x:f>
      </x:c>
      <x:c r="AF101" s="16" t="e">
        <x:f>(1-U101/90)^2</x:f>
      </x:c>
      <x:c r="AG101" s="16" t="n">
        <x:f>IF(Shallow_Input!Y101&gt;0,(1-U101/Shallow_Input!Y101)^2,1)</x:f>
        <x:v>1</x:v>
      </x:c>
      <x:c r="AH101" s="16" t="e">
        <x:f>J101/MAX(G101,0.000001)</x:f>
      </x:c>
      <x:c r="AI101" s="16" t="e">
        <x:f>H101/MAX(L101,0.000001)</x:f>
      </x:c>
      <x:c r="AJ101" s="16" t="e">
        <x:f>IF(K101&gt;=G101,"OK","NG")</x:f>
      </x:c>
      <x:c r="AK101" s="16" t="e">
        <x:f>IF(I101&gt;=L101,"OK","NG")</x:f>
      </x:c>
      <x:c r="AL101" s="16" t="e">
        <x:f>IF(M101&gt;=0,"OK","NG")</x:f>
      </x:c>
      <x:c r="AM101" s="16" t="e">
        <x:f>IF(F101/MAX(R101,0.000001)&lt;=1,"Shallow","Deep")</x:f>
      </x:c>
    </x:row>
  </x:sheetData>
  <x:pageMargins left="0.7" right="0.7" top="0.75" bottom="0.75" header="0.3" footer="0.3"/>
</x:worksheet>
</file>